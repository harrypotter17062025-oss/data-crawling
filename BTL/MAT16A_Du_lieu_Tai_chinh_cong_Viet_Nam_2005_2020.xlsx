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c973543bf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029914f522b4c7f"/>
    <x:sheet xmlns:r="http://schemas.openxmlformats.org/officeDocument/2006/relationships" name="Dashboard" sheetId="2" r:id="Rdb14bf5e9c2544bf"/>
    <x:sheet xmlns:r="http://schemas.openxmlformats.org/officeDocument/2006/relationships" name="Data_2005_2020" sheetId="3" r:id="Rf3d6390802a64bd1"/>
    <x:sheet xmlns:r="http://schemas.openxmlformats.org/officeDocument/2006/relationships" name="Mô tả biến" sheetId="4" r:id="R71a7af65f4ef4dc6"/>
    <x:sheet xmlns:r="http://schemas.openxmlformats.org/officeDocument/2006/relationships" name="Thống kê mô tả" sheetId="5" r:id="R4664ec67431a41b5"/>
    <x:sheet xmlns:r="http://schemas.openxmlformats.org/officeDocument/2006/relationships" name="Tương quan" sheetId="6" r:id="R092d96afeff442e2"/>
    <x:sheet xmlns:r="http://schemas.openxmlformats.org/officeDocument/2006/relationships" name="Hồi quy OLS" sheetId="7" r:id="R3c55697042084a5a"/>
    <x:sheet xmlns:r="http://schemas.openxmlformats.org/officeDocument/2006/relationships" name="Nguồn dữ liệu" sheetId="8" r:id="R594ecd5eefc9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000"/>
    <x:numFmt numFmtId="203" formatCode="0"/>
  </x:numFmts>
  <x:fonts count="18">
    <x:font>
      <x:sz val="11"/>
      <x:name val="Carlito"/>
    </x:font>
    <x:font>
      <x:b/>
      <x:sz val="18"/>
      <x:color rgb="1E3A8A"/>
      <x:name val="Carlito"/>
    </x:font>
    <x:font>
      <x:sz val="10"/>
      <x:color rgb="475569"/>
      <x:name val="Carlito"/>
    </x:font>
    <x:font>
      <x:b/>
      <x:sz val="11"/>
      <x:color rgb="FFFFFF"/>
      <x:name val="Carlito"/>
    </x:font>
    <x:font>
      <x:sz val="10"/>
      <x:color rgb="0F172A"/>
      <x:name val="Carlito"/>
    </x:font>
    <x:font>
      <x:b/>
      <x:sz val="11"/>
      <x:color rgb="92400E"/>
      <x:name val="Carlito"/>
    </x:font>
    <x:font>
      <x:b/>
      <x:sz val="11"/>
      <x:color rgb="0F766E"/>
      <x:name val="Carlito"/>
    </x:font>
    <x:font>
      <x:sz val="9"/>
      <x:color rgb="475569"/>
      <x:name val="Carlito"/>
    </x:font>
    <x:font>
      <x:b/>
      <x:sz val="11"/>
      <x:color rgb="1E3A8A"/>
      <x:name val="Carlito"/>
    </x:font>
    <x:font>
      <x:b/>
      <x:sz val="10"/>
      <x:color rgb="1E3A8A"/>
      <x:name val="Carlito"/>
    </x:font>
    <x:font>
      <x:b/>
      <x:sz val="18"/>
      <x:color rgb="0F766E"/>
      <x:name val="Carlito"/>
    </x:font>
    <x:font>
      <x:sz val="11"/>
      <x:color rgb="92400E"/>
      <x:name val="Carlito"/>
    </x:font>
    <x:font>
      <x:b/>
      <x:sz val="12"/>
      <x:color rgb="1E3A8A"/>
      <x:name val="Carlito"/>
    </x:font>
    <x:font>
      <x:sz val="10"/>
      <x:color rgb="1E3A8A"/>
      <x:name val="Carlito"/>
    </x:font>
    <x:font>
      <x:b/>
      <x:sz val="10"/>
      <x:color rgb="0F172A"/>
      <x:name val="Arial"/>
    </x:font>
    <x:font>
      <x:sz val="10"/>
      <x:color rgb="0F172A"/>
      <x:name val="Arial"/>
    </x:font>
    <x:font>
      <x:b/>
      <x:sz val="18"/>
      <x:color rgb="1E3A8A"/>
      <x:name val="Arial"/>
    </x:font>
    <x:font>
      <x:b/>
      <x:sz val="20"/>
      <x:color rgb="0F766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EFF6FF"/>
      </x:patternFill>
    </x:fill>
    <x:fill>
      <x:patternFill patternType="solid">
        <x:fgColor rgb="1E3A8A"/>
      </x:patternFill>
    </x:fill>
    <x:fill>
      <x:patternFill patternType="solid">
        <x:fgColor rgb="FEF3C7"/>
      </x:patternFill>
    </x:fill>
    <x:fill>
      <x:patternFill patternType="solid">
        <x:fgColor rgb="CCFBF1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</x:fills>
  <x:borders count="20">
    <x:border/>
    <x:border/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horizontal="center"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8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8" fillId="2" borderId="12" xfId="0" applyNumberFormat="1" applyFont="1" applyFill="1" applyBorder="1"/>
    <x:xf numFmtId="0" fontId="0" fillId="2" borderId="13" xfId="0" applyNumberFormat="1" applyFont="1" applyFill="1" applyBorder="1"/>
    <x:xf numFmtId="0" fontId="0" fillId="2" borderId="14" xfId="0" applyNumberFormat="1" applyFont="1" applyFill="1" applyBorder="1"/>
    <x:xf numFmtId="0" fontId="0" fillId="2" borderId="15" xfId="0" applyNumberFormat="1" applyFont="1" applyFill="1" applyBorder="1"/>
    <x:xf numFmtId="0" fontId="0" fillId="2" borderId="16" xfId="0" applyNumberFormat="1" applyFont="1" applyFill="1" applyBorder="1"/>
    <x:xf numFmtId="0" fontId="0" fillId="2" borderId="17" xfId="0" applyNumberFormat="1" applyFont="1" applyFill="1" applyBorder="1"/>
    <x:xf numFmtId="0" fontId="0" fillId="2" borderId="18" xfId="0" applyNumberFormat="1" applyFont="1" applyFill="1" applyBorder="1"/>
    <x:xf numFmtId="0" fontId="0" fillId="2" borderId="19" xfId="0" applyNumberFormat="1" applyFont="1" applyFill="1" applyBorder="1"/>
    <x:xf numFmtId="0" fontId="9" fillId="2" borderId="4" xfId="0" applyNumberFormat="1" applyFont="1" applyFill="1" applyBorder="1"/>
    <x:xf numFmtId="0" fontId="9" fillId="2" borderId="12" xfId="0" applyNumberFormat="1" applyFont="1" applyFill="1" applyBorder="1"/>
    <x:xf numFmtId="0" fontId="10" fillId="2" borderId="7" xfId="0" applyNumberFormat="1" applyFont="1" applyFill="1" applyBorder="1"/>
    <x:xf numFmtId="0" fontId="10" fillId="2" borderId="15" xfId="0" applyNumberFormat="1" applyFont="1" applyFill="1" applyBorder="1"/>
    <x:xf numFmtId="200" fontId="10" fillId="2" borderId="7" xfId="0" applyNumberFormat="1" applyFont="1" applyFill="1" applyBorder="1"/>
    <x:xf numFmtId="200" fontId="10" fillId="2" borderId="15" xfId="0" applyNumberFormat="1" applyFont="1" applyFill="1" applyBorder="1"/>
    <x:xf numFmtId="0" fontId="7" fillId="2" borderId="9" xfId="0" applyNumberFormat="1" applyFont="1" applyFill="1" applyBorder="1"/>
    <x:xf numFmtId="0" fontId="7" fillId="2" borderId="17" xfId="0" applyNumberFormat="1" applyFont="1" applyFill="1" applyBorder="1"/>
    <x:xf numFmtId="0" fontId="8" fillId="6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1" xfId="0" applyNumberFormat="1" applyFont="1" applyFill="1" applyBorder="1"/>
    <x:xf numFmtId="0" fontId="0" fillId="6" borderId="1" xfId="0" applyNumberFormat="1" applyFont="1" applyFill="1" applyBorder="1"/>
    <x:xf numFmtId="0" fontId="8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8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9" fillId="6" borderId="4" xfId="0" applyNumberFormat="1" applyFont="1" applyFill="1" applyBorder="1"/>
    <x:xf numFmtId="0" fontId="9" fillId="6" borderId="12" xfId="0" applyNumberFormat="1" applyFont="1" applyFill="1" applyBorder="1"/>
    <x:xf numFmtId="0" fontId="10" fillId="6" borderId="7" xfId="0" applyNumberFormat="1" applyFont="1" applyFill="1" applyBorder="1"/>
    <x:xf numFmtId="0" fontId="10" fillId="6" borderId="15" xfId="0" applyNumberFormat="1" applyFont="1" applyFill="1" applyBorder="1"/>
    <x:xf numFmtId="200" fontId="10" fillId="6" borderId="7" xfId="0" applyNumberFormat="1" applyFont="1" applyFill="1" applyBorder="1"/>
    <x:xf numFmtId="200" fontId="10" fillId="6" borderId="15" xfId="0" applyNumberFormat="1" applyFont="1" applyFill="1" applyBorder="1"/>
    <x:xf numFmtId="0" fontId="7" fillId="6" borderId="9" xfId="0" applyNumberFormat="1" applyFont="1" applyFill="1" applyBorder="1"/>
    <x:xf numFmtId="0" fontId="7" fillId="6" borderId="17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202" fontId="4" fillId="0" borderId="2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/>
    </x:xf>
    <x:xf numFmtId="0" fontId="13" fillId="0" borderId="2" xfId="0" applyNumberFormat="1" applyFont="1" applyFill="1" applyBorder="1" applyAlignment="1">
      <x:alignment vertical="top"/>
    </x:xf>
    <x:xf numFmtId="0" fontId="13" fillId="0" borderId="3" xfId="0" applyNumberFormat="1" applyFont="1" applyFill="1" applyBorder="1" applyAlignment="1">
      <x:alignment vertical="top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/>
    <x:xf numFmtId="0" fontId="14" fillId="2" borderId="1" xfId="0" applyNumberFormat="1" applyFont="1" applyFill="1" applyBorder="1" applyAlignment="1">
      <x:alignment horizontal="left" vertical="center"/>
    </x:xf>
    <x:xf numFmtId="0" fontId="15" fillId="0" borderId="1" xfId="0" applyNumberFormat="1" applyFont="1" applyFill="1" applyBorder="1"/>
    <x:xf numFmtId="0" fontId="16" fillId="2" borderId="0" xfId="0" applyNumberFormat="1" applyFont="1" applyFill="1" applyBorder="1" applyAlignment="1">
      <x:alignment horizontal="left" vertical="center"/>
    </x:xf>
    <x:xf numFmtId="0" fontId="16" fillId="2" borderId="1" xfId="0" applyNumberFormat="1" applyFont="1" applyFill="1" applyBorder="1" applyAlignment="1">
      <x:alignment horizontal="left" vertical="center"/>
    </x:xf>
    <x:xf numFmtId="0" fontId="0" fillId="2" borderId="4" xfId="0" applyNumberFormat="1" applyFont="1" applyFill="1" applyBorder="1"/>
    <x:xf numFmtId="0" fontId="0" fillId="2" borderId="12" xfId="0" applyNumberFormat="1" applyFont="1" applyFill="1" applyBorder="1"/>
    <x:xf numFmtId="200" fontId="10" fillId="2" borderId="7" xfId="0" applyNumberFormat="1" applyFont="1" applyFill="1" applyBorder="1" applyAlignment="1">
      <x:alignment horizontal="left"/>
    </x:xf>
    <x:xf numFmtId="200" fontId="10" fillId="2" borderId="15" xfId="0" applyNumberFormat="1" applyFont="1" applyFill="1" applyBorder="1" applyAlignment="1">
      <x:alignment horizontal="left"/>
    </x:xf>
    <x:xf numFmtId="0" fontId="9" fillId="2" borderId="4" xfId="0" applyNumberFormat="1" applyFont="1" applyFill="1" applyBorder="1" applyAlignment="1">
      <x:alignment vertical="center"/>
    </x:xf>
    <x:xf numFmtId="0" fontId="0" fillId="2" borderId="5" xfId="0" applyNumberFormat="1" applyFont="1" applyFill="1" applyBorder="1" applyAlignment="1">
      <x:alignment vertical="center"/>
    </x:xf>
    <x:xf numFmtId="0" fontId="0" fillId="2" borderId="6" xfId="0" applyNumberFormat="1" applyFont="1" applyFill="1" applyBorder="1" applyAlignment="1">
      <x:alignment vertical="center"/>
    </x:xf>
    <x:xf numFmtId="200" fontId="10" fillId="2" borderId="7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 applyAlignment="1">
      <x:alignment vertical="center"/>
    </x:xf>
    <x:xf numFmtId="0" fontId="0" fillId="2" borderId="8" xfId="0" applyNumberFormat="1" applyFont="1" applyFill="1" applyBorder="1" applyAlignment="1">
      <x:alignment vertical="center"/>
    </x:xf>
    <x:xf numFmtId="0" fontId="7" fillId="2" borderId="9" xfId="0" applyNumberFormat="1" applyFont="1" applyFill="1" applyBorder="1" applyAlignment="1">
      <x:alignment vertical="center"/>
    </x:xf>
    <x:xf numFmtId="0" fontId="0" fillId="2" borderId="10" xfId="0" applyNumberFormat="1" applyFont="1" applyFill="1" applyBorder="1" applyAlignment="1">
      <x:alignment vertical="center"/>
    </x:xf>
    <x:xf numFmtId="0" fontId="0" fillId="2" borderId="11" xfId="0" applyNumberFormat="1" applyFont="1" applyFill="1" applyBorder="1" applyAlignment="1">
      <x:alignment vertical="center"/>
    </x:xf>
    <x:xf numFmtId="0" fontId="9" fillId="2" borderId="12" xfId="0" applyNumberFormat="1" applyFont="1" applyFill="1" applyBorder="1" applyAlignment="1">
      <x:alignment vertical="center"/>
    </x:xf>
    <x:xf numFmtId="0" fontId="0" fillId="2" borderId="13" xfId="0" applyNumberFormat="1" applyFont="1" applyFill="1" applyBorder="1" applyAlignment="1">
      <x:alignment vertical="center"/>
    </x:xf>
    <x:xf numFmtId="0" fontId="0" fillId="2" borderId="14" xfId="0" applyNumberFormat="1" applyFont="1" applyFill="1" applyBorder="1" applyAlignment="1">
      <x:alignment vertical="center"/>
    </x:xf>
    <x:xf numFmtId="200" fontId="10" fillId="2" borderId="15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 applyAlignment="1">
      <x:alignment vertical="center"/>
    </x:xf>
    <x:xf numFmtId="0" fontId="0" fillId="2" borderId="16" xfId="0" applyNumberFormat="1" applyFont="1" applyFill="1" applyBorder="1" applyAlignment="1">
      <x:alignment vertical="center"/>
    </x:xf>
    <x:xf numFmtId="0" fontId="7" fillId="2" borderId="17" xfId="0" applyNumberFormat="1" applyFont="1" applyFill="1" applyBorder="1" applyAlignment="1">
      <x:alignment vertical="center"/>
    </x:xf>
    <x:xf numFmtId="0" fontId="0" fillId="2" borderId="18" xfId="0" applyNumberFormat="1" applyFont="1" applyFill="1" applyBorder="1" applyAlignment="1">
      <x:alignment vertical="center"/>
    </x:xf>
    <x:xf numFmtId="0" fontId="0" fillId="2" borderId="19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0" fontId="0" fillId="6" borderId="12" xfId="0" applyNumberFormat="1" applyFont="1" applyFill="1" applyBorder="1"/>
    <x:xf numFmtId="200" fontId="10" fillId="6" borderId="7" xfId="0" applyNumberFormat="1" applyFont="1" applyFill="1" applyBorder="1" applyAlignment="1">
      <x:alignment horizontal="left"/>
    </x:xf>
    <x:xf numFmtId="200" fontId="10" fillId="6" borderId="15" xfId="0" applyNumberFormat="1" applyFont="1" applyFill="1" applyBorder="1" applyAlignment="1">
      <x:alignment horizontal="left"/>
    </x:xf>
    <x:xf numFmtId="0" fontId="9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200" fontId="10" fillId="6" borderId="7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7" fillId="6" borderId="9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9" fillId="6" borderId="12" xfId="0" applyNumberFormat="1" applyFont="1" applyFill="1" applyBorder="1" applyAlignment="1">
      <x:alignment vertical="center"/>
    </x:xf>
    <x:xf numFmtId="0" fontId="0" fillId="6" borderId="13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200" fontId="10" fillId="6" borderId="15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vertical="center"/>
    </x:xf>
    <x:xf numFmtId="0" fontId="7" fillId="6" borderId="17" xfId="0" applyNumberFormat="1" applyFont="1" applyFill="1" applyBorder="1" applyAlignment="1">
      <x:alignment vertical="center"/>
    </x:xf>
    <x:xf numFmtId="0" fontId="0" fillId="6" borderId="18" xfId="0" applyNumberFormat="1" applyFont="1" applyFill="1" applyBorder="1" applyAlignment="1">
      <x:alignment vertical="center"/>
    </x:xf>
    <x:xf numFmtId="0" fontId="0" fillId="6" borderId="19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/>
    <x:xf numFmtId="0" fontId="17" fillId="2" borderId="15" xfId="0" applyNumberFormat="1" applyFont="1" applyFill="1" applyBorder="1"/>
    <x:xf numFmtId="200" fontId="17" fillId="2" borderId="7" xfId="0" applyNumberFormat="1" applyFont="1" applyFill="1" applyBorder="1"/>
    <x:xf numFmtId="200" fontId="17" fillId="2" borderId="15" xfId="0" applyNumberFormat="1" applyFont="1" applyFill="1" applyBorder="1"/>
    <x:xf numFmtId="0" fontId="9" fillId="2" borderId="4" xfId="0" applyNumberFormat="1" applyFont="1" applyFill="1" applyBorder="1" applyAlignment="1">
      <x:alignment horizontal="left"/>
    </x:xf>
    <x:xf numFmtId="200" fontId="17" fillId="2" borderId="7" xfId="0" applyNumberFormat="1" applyFont="1" applyFill="1" applyBorder="1" applyAlignment="1">
      <x:alignment horizontal="left"/>
    </x:xf>
    <x:xf numFmtId="0" fontId="7" fillId="2" borderId="9" xfId="0" applyNumberFormat="1" applyFont="1" applyFill="1" applyBorder="1" applyAlignment="1">
      <x:alignment horizontal="left"/>
    </x:xf>
    <x:xf numFmtId="0" fontId="9" fillId="2" borderId="12" xfId="0" applyNumberFormat="1" applyFont="1" applyFill="1" applyBorder="1" applyAlignment="1">
      <x:alignment horizontal="left"/>
    </x:xf>
    <x:xf numFmtId="200" fontId="17" fillId="2" borderId="15" xfId="0" applyNumberFormat="1" applyFont="1" applyFill="1" applyBorder="1" applyAlignment="1">
      <x:alignment horizontal="left"/>
    </x:xf>
    <x:xf numFmtId="0" fontId="7" fillId="2" borderId="17" xfId="0" applyNumberFormat="1" applyFont="1" applyFill="1" applyBorder="1" applyAlignment="1">
      <x:alignment horizontal="left"/>
    </x:xf>
    <x:xf numFmtId="0" fontId="17" fillId="6" borderId="7" xfId="0" applyNumberFormat="1" applyFont="1" applyFill="1" applyBorder="1"/>
    <x:xf numFmtId="0" fontId="17" fillId="6" borderId="15" xfId="0" applyNumberFormat="1" applyFont="1" applyFill="1" applyBorder="1"/>
    <x:xf numFmtId="200" fontId="17" fillId="6" borderId="7" xfId="0" applyNumberFormat="1" applyFont="1" applyFill="1" applyBorder="1"/>
    <x:xf numFmtId="200" fontId="17" fillId="6" borderId="15" xfId="0" applyNumberFormat="1" applyFont="1" applyFill="1" applyBorder="1"/>
    <x:xf numFmtId="0" fontId="9" fillId="6" borderId="4" xfId="0" applyNumberFormat="1" applyFont="1" applyFill="1" applyBorder="1" applyAlignment="1">
      <x:alignment horizontal="left"/>
    </x:xf>
    <x:xf numFmtId="200" fontId="17" fillId="6" borderId="7" xfId="0" applyNumberFormat="1" applyFont="1" applyFill="1" applyBorder="1" applyAlignment="1">
      <x:alignment horizontal="left"/>
    </x:xf>
    <x:xf numFmtId="0" fontId="7" fillId="6" borderId="9" xfId="0" applyNumberFormat="1" applyFont="1" applyFill="1" applyBorder="1" applyAlignment="1">
      <x:alignment horizontal="left"/>
    </x:xf>
    <x:xf numFmtId="0" fontId="9" fillId="6" borderId="12" xfId="0" applyNumberFormat="1" applyFont="1" applyFill="1" applyBorder="1" applyAlignment="1">
      <x:alignment horizontal="left"/>
    </x:xf>
    <x:xf numFmtId="200" fontId="17" fillId="6" borderId="15" xfId="0" applyNumberFormat="1" applyFont="1" applyFill="1" applyBorder="1" applyAlignment="1">
      <x:alignment horizontal="left"/>
    </x:xf>
    <x:xf numFmtId="0" fontId="7" fillId="6" borderId="17" xfId="0" applyNumberFormat="1" applyFont="1" applyFill="1" applyBorder="1" applyAlignment="1">
      <x:alignment horizontal="left"/>
    </x:xf>
    <x:xf numFmtId="203" fontId="17" fillId="6" borderId="7" xfId="0" applyNumberFormat="1" applyFont="1" applyFill="1" applyBorder="1" applyAlignment="1">
      <x:alignment horizontal="left"/>
    </x:xf>
    <x:xf numFmtId="203" fontId="17" fillId="6" borderId="15" xfId="0" applyNumberFormat="1" applyFont="1" applyFill="1" applyBorder="1" applyAlignment="1">
      <x:alignment horizontal="left"/>
    </x:xf>
    <x:xf numFmtId="0" fontId="17" fillId="2" borderId="7" xfId="0" applyNumberFormat="1" applyFont="1" applyFill="1" applyBorder="1" applyAlignment="1">
      <x:alignment vertical="center"/>
    </x:xf>
    <x:xf numFmtId="0" fontId="17" fillId="2" borderId="15" xfId="0" applyNumberFormat="1" applyFont="1" applyFill="1" applyBorder="1" applyAlignment="1">
      <x:alignment vertical="center"/>
    </x:xf>
    <x:xf numFmtId="0" fontId="17" fillId="6" borderId="7" xfId="0" applyNumberFormat="1" applyFont="1" applyFill="1" applyBorder="1" applyAlignment="1">
      <x:alignment vertical="center"/>
    </x:xf>
    <x:xf numFmtId="0" fontId="17" fillId="6" borderId="15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</x:cellXfs>
  <x:cellStyles count="1">
    <x:cellStyle name="Normal" xfId="0"/>
  </x:cellStyles>
  <x:dxfs count="2">
    <x:dxf>
      <x:font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82a1d8653447c" /><Relationship Type="http://schemas.openxmlformats.org/officeDocument/2006/relationships/theme" Target="/xl/theme/theme1.xml" Id="Rb02a961092294b03" /><Relationship Type="http://schemas.openxmlformats.org/officeDocument/2006/relationships/sharedStrings" Target="/xl/sharedStrings.xml" Id="R3c12e4f8f07a4b33" /><Relationship Type="http://schemas.openxmlformats.org/officeDocument/2006/relationships/worksheet" Target="/xl/worksheets/sheet1.xml" Id="Rf029914f522b4c7f" /><Relationship Type="http://schemas.openxmlformats.org/officeDocument/2006/relationships/worksheet" Target="/xl/worksheets/sheet2.xml" Id="Rdb14bf5e9c2544bf" /><Relationship Type="http://schemas.openxmlformats.org/officeDocument/2006/relationships/worksheet" Target="/xl/worksheets/sheet3.xml" Id="Rf3d6390802a64bd1" /><Relationship Type="http://schemas.openxmlformats.org/officeDocument/2006/relationships/worksheet" Target="/xl/worksheets/sheet4.xml" Id="R71a7af65f4ef4dc6" /><Relationship Type="http://schemas.openxmlformats.org/officeDocument/2006/relationships/worksheet" Target="/xl/worksheets/sheet5.xml" Id="R4664ec67431a41b5" /><Relationship Type="http://schemas.openxmlformats.org/officeDocument/2006/relationships/worksheet" Target="/xl/worksheets/sheet6.xml" Id="R092d96afeff442e2" /><Relationship Type="http://schemas.openxmlformats.org/officeDocument/2006/relationships/worksheet" Target="/xl/worksheets/sheet7.xml" Id="R3c55697042084a5a" /><Relationship Type="http://schemas.openxmlformats.org/officeDocument/2006/relationships/worksheet" Target="/xl/worksheets/sheet8.xml" Id="R594ecd5eefc946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50e64b0d494d32" /><Relationship Type="http://schemas.openxmlformats.org/officeDocument/2006/relationships/chart" Target="/xl/drawings/charts/chart2.xml" Id="R1f5bc707b84f493c" /><Relationship Type="http://schemas.openxmlformats.org/officeDocument/2006/relationships/chart" Target="/xl/drawings/charts/chart3.xml" Id="R6b8dc4fa6cef47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GDP Growth và Inflation (%)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GDP Growth</c:v>
          </c:tx>
          <c:marker/>
          <c:cat>
            <c:numLit>
              <c:formatCode/>
              <c:ptCount val="16"/>
              <c:pt idx="0">
                <c:v>2005</c:v>
              </c:pt>
              <c:pt idx="1">
                <c:v>2006</c:v>
              </c:pt>
              <c:pt idx="2">
                <c:v>2007</c:v>
              </c:pt>
              <c:pt idx="3">
                <c:v>2008</c:v>
              </c:pt>
              <c:pt idx="4">
                <c:v>2009</c:v>
              </c:pt>
              <c:pt idx="5">
                <c:v>2010</c:v>
              </c:pt>
              <c:pt idx="6">
                <c:v>2011</c:v>
              </c:pt>
              <c:pt idx="7">
                <c:v>2012</c:v>
              </c:pt>
              <c:pt idx="8">
                <c:v>2013</c:v>
              </c:pt>
              <c:pt idx="9">
                <c:v>2014</c:v>
              </c:pt>
              <c:pt idx="10">
                <c:v>2015</c:v>
              </c:pt>
              <c:pt idx="11">
                <c:v>2016</c:v>
              </c:pt>
              <c:pt idx="12">
                <c:v>2017</c:v>
              </c:pt>
              <c:pt idx="13">
                <c:v>2018</c:v>
              </c:pt>
              <c:pt idx="14">
                <c:v>2019</c:v>
              </c:pt>
              <c:pt idx="15">
                <c:v>2020</c:v>
              </c:pt>
            </c:numLit>
          </c:cat>
          <c:val>
            <c:numLit>
              <c:formatCode>0.0</c:formatCode>
              <c:ptCount val="16"/>
              <c:pt idx="0">
                <c:v>7.5472557754</c:v>
              </c:pt>
              <c:pt idx="1">
                <c:v>6.977974882</c:v>
              </c:pt>
              <c:pt idx="2">
                <c:v>7.1294934868</c:v>
              </c:pt>
              <c:pt idx="3">
                <c:v>5.6617868727</c:v>
              </c:pt>
              <c:pt idx="4">
                <c:v>5.3978714502</c:v>
              </c:pt>
              <c:pt idx="5">
                <c:v>6.4232673765</c:v>
              </c:pt>
              <c:pt idx="6">
                <c:v>6.4131688968</c:v>
              </c:pt>
              <c:pt idx="7">
                <c:v>5.5045447041</c:v>
              </c:pt>
              <c:pt idx="8">
                <c:v>5.5535108103</c:v>
              </c:pt>
              <c:pt idx="9">
                <c:v>6.4222431212</c:v>
              </c:pt>
              <c:pt idx="10">
                <c:v>6.987154306</c:v>
              </c:pt>
              <c:pt idx="11">
                <c:v>6.6900089266</c:v>
              </c:pt>
              <c:pt idx="12">
                <c:v>6.9401903736</c:v>
              </c:pt>
              <c:pt idx="13">
                <c:v>7.4650068557</c:v>
              </c:pt>
              <c:pt idx="14">
                <c:v>7.3592627011</c:v>
              </c:pt>
              <c:pt idx="15">
                <c:v>2.8654132091</c:v>
              </c:pt>
            </c:numLit>
          </c:val>
          <c:smooth val="0"/>
        </c:ser>
        <c:ser>
          <c:idx val="1"/>
          <c:order val="1"/>
          <c:tx>
            <c:v>Inflation</c:v>
          </c:tx>
          <c:marker/>
          <c:cat>
            <c:numLit>
              <c:formatCode/>
              <c:ptCount val="16"/>
              <c:pt idx="0">
                <c:v>2005</c:v>
              </c:pt>
              <c:pt idx="1">
                <c:v>2006</c:v>
              </c:pt>
              <c:pt idx="2">
                <c:v>2007</c:v>
              </c:pt>
              <c:pt idx="3">
                <c:v>2008</c:v>
              </c:pt>
              <c:pt idx="4">
                <c:v>2009</c:v>
              </c:pt>
              <c:pt idx="5">
                <c:v>2010</c:v>
              </c:pt>
              <c:pt idx="6">
                <c:v>2011</c:v>
              </c:pt>
              <c:pt idx="7">
                <c:v>2012</c:v>
              </c:pt>
              <c:pt idx="8">
                <c:v>2013</c:v>
              </c:pt>
              <c:pt idx="9">
                <c:v>2014</c:v>
              </c:pt>
              <c:pt idx="10">
                <c:v>2015</c:v>
              </c:pt>
              <c:pt idx="11">
                <c:v>2016</c:v>
              </c:pt>
              <c:pt idx="12">
                <c:v>2017</c:v>
              </c:pt>
              <c:pt idx="13">
                <c:v>2018</c:v>
              </c:pt>
              <c:pt idx="14">
                <c:v>2019</c:v>
              </c:pt>
              <c:pt idx="15">
                <c:v>2020</c:v>
              </c:pt>
            </c:numLit>
          </c:cat>
          <c:val>
            <c:numLit>
              <c:formatCode>0.0</c:formatCode>
              <c:ptCount val="16"/>
              <c:pt idx="0">
                <c:v>8.28457243128677</c:v>
              </c:pt>
              <c:pt idx="1">
                <c:v>7.41801715108463</c:v>
              </c:pt>
              <c:pt idx="2">
                <c:v>8.34444889773837</c:v>
              </c:pt>
              <c:pt idx="3">
                <c:v>23.1154483474477</c:v>
              </c:pt>
              <c:pt idx="4">
                <c:v>6.71698269988629</c:v>
              </c:pt>
              <c:pt idx="5">
                <c:v>9.20746648778413</c:v>
              </c:pt>
              <c:pt idx="6">
                <c:v>18.6777322770707</c:v>
              </c:pt>
              <c:pt idx="7">
                <c:v>9.09470339557192</c:v>
              </c:pt>
              <c:pt idx="8">
                <c:v>6.59267475899192</c:v>
              </c:pt>
              <c:pt idx="9">
                <c:v>4.08455446637617</c:v>
              </c:pt>
              <c:pt idx="10">
                <c:v>0.631200905175754</c:v>
              </c:pt>
              <c:pt idx="11">
                <c:v>2.66824816969082</c:v>
              </c:pt>
              <c:pt idx="12">
                <c:v>3.52025688811617</c:v>
              </c:pt>
              <c:pt idx="13">
                <c:v>3.53962805942641</c:v>
              </c:pt>
              <c:pt idx="14">
                <c:v>2.7958236745225</c:v>
              </c:pt>
              <c:pt idx="15">
                <c:v>3.22093436652514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Năm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</a:t>
                </a:r>
              </a:p>
            </c:rich>
          </c:tx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Revenue/GDP và Expenditure/GDP (% GDP)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Revenue/GDP</c:v>
          </c:tx>
          <c:marker/>
          <c:cat>
            <c:numLit>
              <c:formatCode/>
              <c:ptCount val="16"/>
              <c:pt idx="0">
                <c:v>2005</c:v>
              </c:pt>
              <c:pt idx="1">
                <c:v>2006</c:v>
              </c:pt>
              <c:pt idx="2">
                <c:v>2007</c:v>
              </c:pt>
              <c:pt idx="3">
                <c:v>2008</c:v>
              </c:pt>
              <c:pt idx="4">
                <c:v>2009</c:v>
              </c:pt>
              <c:pt idx="5">
                <c:v>2010</c:v>
              </c:pt>
              <c:pt idx="6">
                <c:v>2011</c:v>
              </c:pt>
              <c:pt idx="7">
                <c:v>2012</c:v>
              </c:pt>
              <c:pt idx="8">
                <c:v>2013</c:v>
              </c:pt>
              <c:pt idx="9">
                <c:v>2014</c:v>
              </c:pt>
              <c:pt idx="10">
                <c:v>2015</c:v>
              </c:pt>
              <c:pt idx="11">
                <c:v>2016</c:v>
              </c:pt>
              <c:pt idx="12">
                <c:v>2017</c:v>
              </c:pt>
              <c:pt idx="13">
                <c:v>2018</c:v>
              </c:pt>
              <c:pt idx="14">
                <c:v>2019</c:v>
              </c:pt>
              <c:pt idx="15">
                <c:v>2020</c:v>
              </c:pt>
            </c:numLit>
          </c:cat>
          <c:val>
            <c:numLit>
              <c:formatCode>0.0</c:formatCode>
              <c:ptCount val="16"/>
              <c:pt idx="0">
                <c:v>27.2</c:v>
              </c:pt>
              <c:pt idx="1">
                <c:v>28.69</c:v>
              </c:pt>
              <c:pt idx="2">
                <c:v>28.45</c:v>
              </c:pt>
              <c:pt idx="3">
                <c:v>28.91</c:v>
              </c:pt>
              <c:pt idx="4">
                <c:v>25.6</c:v>
              </c:pt>
              <c:pt idx="5">
                <c:v>27.3</c:v>
              </c:pt>
              <c:pt idx="6">
                <c:v>25.9</c:v>
              </c:pt>
              <c:pt idx="7">
                <c:v>22.6</c:v>
              </c:pt>
              <c:pt idx="8">
                <c:v>23.1</c:v>
              </c:pt>
              <c:pt idx="9">
                <c:v>22.2</c:v>
              </c:pt>
              <c:pt idx="10">
                <c:v>23.8</c:v>
              </c:pt>
              <c:pt idx="11">
                <c:v>23.9</c:v>
              </c:pt>
              <c:pt idx="12">
                <c:v>24.6</c:v>
              </c:pt>
              <c:pt idx="13">
                <c:v>24.6</c:v>
              </c:pt>
              <c:pt idx="14">
                <c:v>24.8</c:v>
              </c:pt>
              <c:pt idx="15">
                <c:v>23.9</c:v>
              </c:pt>
            </c:numLit>
          </c:val>
          <c:smooth val="0"/>
        </c:ser>
        <c:ser>
          <c:idx val="1"/>
          <c:order val="1"/>
          <c:tx>
            <c:v>Expenditure/GDP</c:v>
          </c:tx>
          <c:marker/>
          <c:cat>
            <c:numLit>
              <c:formatCode/>
              <c:ptCount val="16"/>
              <c:pt idx="0">
                <c:v>2005</c:v>
              </c:pt>
              <c:pt idx="1">
                <c:v>2006</c:v>
              </c:pt>
              <c:pt idx="2">
                <c:v>2007</c:v>
              </c:pt>
              <c:pt idx="3">
                <c:v>2008</c:v>
              </c:pt>
              <c:pt idx="4">
                <c:v>2009</c:v>
              </c:pt>
              <c:pt idx="5">
                <c:v>2010</c:v>
              </c:pt>
              <c:pt idx="6">
                <c:v>2011</c:v>
              </c:pt>
              <c:pt idx="7">
                <c:v>2012</c:v>
              </c:pt>
              <c:pt idx="8">
                <c:v>2013</c:v>
              </c:pt>
              <c:pt idx="9">
                <c:v>2014</c:v>
              </c:pt>
              <c:pt idx="10">
                <c:v>2015</c:v>
              </c:pt>
              <c:pt idx="11">
                <c:v>2016</c:v>
              </c:pt>
              <c:pt idx="12">
                <c:v>2017</c:v>
              </c:pt>
              <c:pt idx="13">
                <c:v>2018</c:v>
              </c:pt>
              <c:pt idx="14">
                <c:v>2019</c:v>
              </c:pt>
              <c:pt idx="15">
                <c:v>2020</c:v>
              </c:pt>
            </c:numLit>
          </c:cat>
          <c:val>
            <c:numLit>
              <c:formatCode>0.0</c:formatCode>
              <c:ptCount val="16"/>
              <c:pt idx="0">
                <c:v>28.51</c:v>
              </c:pt>
              <c:pt idx="1">
                <c:v>28.39</c:v>
              </c:pt>
              <c:pt idx="2">
                <c:v>30.63</c:v>
              </c:pt>
              <c:pt idx="3">
                <c:v>29.45</c:v>
              </c:pt>
              <c:pt idx="4">
                <c:v>31.6</c:v>
              </c:pt>
              <c:pt idx="5">
                <c:v>30</c:v>
              </c:pt>
              <c:pt idx="6">
                <c:v>27</c:v>
              </c:pt>
              <c:pt idx="7">
                <c:v>29.5</c:v>
              </c:pt>
              <c:pt idx="8">
                <c:v>30.5</c:v>
              </c:pt>
              <c:pt idx="9">
                <c:v>28.5</c:v>
              </c:pt>
              <c:pt idx="10">
                <c:v>29.9</c:v>
              </c:pt>
              <c:pt idx="11">
                <c:v>27.8</c:v>
              </c:pt>
              <c:pt idx="12">
                <c:v>27.1</c:v>
              </c:pt>
              <c:pt idx="13">
                <c:v>25.9</c:v>
              </c:pt>
              <c:pt idx="14">
                <c:v>29</c:v>
              </c:pt>
              <c:pt idx="15">
                <c:v>28.3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Năm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 GDP</a:t>
                </a:r>
              </a:p>
            </c:rich>
          </c:tx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Cân đối ngân sách/GDP (% GDP)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Balance/GDP</c:v>
          </c:tx>
          <c:cat>
            <c:numLit>
              <c:formatCode/>
              <c:ptCount val="16"/>
              <c:pt idx="0">
                <c:v>2005</c:v>
              </c:pt>
              <c:pt idx="1">
                <c:v>2006</c:v>
              </c:pt>
              <c:pt idx="2">
                <c:v>2007</c:v>
              </c:pt>
              <c:pt idx="3">
                <c:v>2008</c:v>
              </c:pt>
              <c:pt idx="4">
                <c:v>2009</c:v>
              </c:pt>
              <c:pt idx="5">
                <c:v>2010</c:v>
              </c:pt>
              <c:pt idx="6">
                <c:v>2011</c:v>
              </c:pt>
              <c:pt idx="7">
                <c:v>2012</c:v>
              </c:pt>
              <c:pt idx="8">
                <c:v>2013</c:v>
              </c:pt>
              <c:pt idx="9">
                <c:v>2014</c:v>
              </c:pt>
              <c:pt idx="10">
                <c:v>2015</c:v>
              </c:pt>
              <c:pt idx="11">
                <c:v>2016</c:v>
              </c:pt>
              <c:pt idx="12">
                <c:v>2017</c:v>
              </c:pt>
              <c:pt idx="13">
                <c:v>2018</c:v>
              </c:pt>
              <c:pt idx="14">
                <c:v>2019</c:v>
              </c:pt>
              <c:pt idx="15">
                <c:v>2020</c:v>
              </c:pt>
            </c:numLit>
          </c:cat>
          <c:val>
            <c:numLit>
              <c:formatCode>0.0</c:formatCode>
              <c:ptCount val="16"/>
              <c:pt idx="0">
                <c:v>-1.3100000000000023</c:v>
              </c:pt>
              <c:pt idx="1">
                <c:v>0.3000000000000007</c:v>
              </c:pt>
              <c:pt idx="2">
                <c:v>-2.1799999999999997</c:v>
              </c:pt>
              <c:pt idx="3">
                <c:v>-0.5399999999999991</c:v>
              </c:pt>
              <c:pt idx="4">
                <c:v>-6</c:v>
              </c:pt>
              <c:pt idx="5">
                <c:v>-2.6999999999999993</c:v>
              </c:pt>
              <c:pt idx="6">
                <c:v>-1.1000000000000014</c:v>
              </c:pt>
              <c:pt idx="7">
                <c:v>-6.899999999999999</c:v>
              </c:pt>
              <c:pt idx="8">
                <c:v>-7.399999999999999</c:v>
              </c:pt>
              <c:pt idx="9">
                <c:v>-6.300000000000001</c:v>
              </c:pt>
              <c:pt idx="10">
                <c:v>-6.099999999999998</c:v>
              </c:pt>
              <c:pt idx="11">
                <c:v>-3.900000000000002</c:v>
              </c:pt>
              <c:pt idx="12">
                <c:v>-2.5</c:v>
              </c:pt>
              <c:pt idx="13">
                <c:v>-1.2999999999999972</c:v>
              </c:pt>
              <c:pt idx="14">
                <c:v>-4.199999999999999</c:v>
              </c:pt>
              <c:pt idx="15">
                <c:v>-4.400000000000002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Năm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 GDP</a:t>
                </a:r>
              </a:p>
            </c:rich>
          </c:tx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18</xdr:row>
      <xdr:rowOff>0</xdr:rowOff>
    </xdr:from>
    <xdr:ext cx="5524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50e64b0d494d32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5245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5bc707b84f493c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5524500" cy="27622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8dc4fa6cef47fb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FiscalData" displayName="FiscalData" ref="A8:K24" headerRowCount="1">
  <x:tableColumns count="11">
    <x:tableColumn id="1" name="Year"/>
    <x:tableColumn id="2" name="GDP_Growth"/>
    <x:tableColumn id="3" name="Revenue_GDP"/>
    <x:tableColumn id="4" name="Expenditure_GDP"/>
    <x:tableColumn id="5" name="Inflation"/>
    <x:tableColumn id="6" name="Balance_GDP"/>
    <x:tableColumn id="7" name="GDP_Current_USD_bn"/>
    <x:tableColumn id="8" name="Budget_Revenue_USD_bn"/>
    <x:tableColumn id="9" name="Budget_Expenditure_USD_bn"/>
    <x:tableColumn id="10" name="Fiscal_Source"/>
    <x:tableColumn id="11" name="Data_Note"/>
  </x:tableColumns>
  <x:tableStyleInfo name="TableStyleMedium2" showRowStripes="1"/>
</x:table>
</file>

<file path=xl/tables/table2.xml><?xml version="1.0" encoding="utf-8"?>
<x:table xmlns:x="http://schemas.openxmlformats.org/spreadsheetml/2006/main" id="2" name="CodebookTable" displayName="CodebookTable" ref="A4:G13" headerRowCount="1">
  <x:tableColumns count="7">
    <x:tableColumn id="1" name="Biến"/>
    <x:tableColumn id="2" name="Tên đầy đủ"/>
    <x:tableColumn id="3" name="Đơn vị"/>
    <x:tableColumn id="4" name="Nguồn/Công thức"/>
    <x:tableColumn id="5" name="Vai trò"/>
    <x:tableColumn id="6" name="Cách diễn giải"/>
    <x:tableColumn id="7" name="Lưu ý"/>
  </x:tableColumns>
  <x:tableStyleInfo name="TableStyleMedium2" showRowStripes="1"/>
</x:table>
</file>

<file path=xl/tables/table3.xml><?xml version="1.0" encoding="utf-8"?>
<x:table xmlns:x="http://schemas.openxmlformats.org/spreadsheetml/2006/main" id="3" name="DescriptiveTable" displayName="DescriptiveTable" ref="A4:H11" headerRowCount="1">
  <x:tableColumns count="8">
    <x:tableColumn id="1" name="Biến"/>
    <x:tableColumn id="2" name="Nguồn ô dữ liệu"/>
    <x:tableColumn id="3" name="Count"/>
    <x:tableColumn id="4" name="Mean"/>
    <x:tableColumn id="5" name="Std.Dev"/>
    <x:tableColumn id="6" name="Min"/>
    <x:tableColumn id="7" name="Max"/>
    <x:tableColumn id="8" name="Ghi chú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4:D10" headerRowCount="1">
  <x:tableColumns count="4">
    <x:tableColumn id="1" name="Nguồn"/>
    <x:tableColumn id="2" name="Dùng cho biến"/>
    <x:tableColumn id="3" name="URL"/>
    <x:tableColumn id="4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a0191331b541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09f6ee884a04f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e40eba1282a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65ea929b82243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df55ed2f2f1447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144" t="str">
        <x:v>Hướng dẫn sử dụng file dữ liệu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Bài tập lớn MAT16A – Tài chính công Việt Nam 2005–2020</x:v>
      </x:c>
    </x:row>
    <x:row r="4">
      <x:c r="A4" s="24" t="str">
        <x:v>Mục</x:v>
      </x:c>
      <x:c r="B4" s="24" t="str">
        <x:v>Nội dung cần đọc</x:v>
      </x:c>
    </x:row>
    <x:row r="5">
      <x:c r="A5" s="32" t="str">
        <x:v>1. Dashboard</x:v>
      </x:c>
      <x:c r="B5" s="34" t="str">
        <x:v>Xem nhanh xu hướng chính, KPI trung bình và biểu đồ tổng quan để viết phần nhận xét ban đầu.</x:v>
      </x:c>
    </x:row>
    <x:row r="6">
      <x:c r="A6" s="32" t="str">
        <x:v>2. Data_2005_2020</x:v>
      </x:c>
      <x:c r="B6" s="34" t="str">
        <x:v>Bảng dữ liệu chính. Phần đầu bảng có chú thích cột, đơn vị và vai trò biến; phần dữ liệu có công thức tính Balance_GDP và ước tính thu/chi theo USD.</x:v>
      </x:c>
    </x:row>
    <x:row r="7">
      <x:c r="A7" s="32" t="str">
        <x:v>3. Mô tả biến</x:v>
      </x:c>
      <x:c r="B7" s="34" t="str">
        <x:v>Bảng codebook giải thích từng biến, đơn vị, nguồn/công thức và cách dùng trong mô hình.</x:v>
      </x:c>
    </x:row>
    <x:row r="8">
      <x:c r="A8" s="32" t="str">
        <x:v>4. Thống kê mô tả</x:v>
      </x:c>
      <x:c r="B8" s="34" t="str">
        <x:v>Dùng để viết mục Data &amp; Methodology và mô tả đặc điểm dữ liệu.</x:v>
      </x:c>
    </x:row>
    <x:row r="9">
      <x:c r="A9" s="32" t="str">
        <x:v>5. Tương quan</x:v>
      </x:c>
      <x:c r="B9" s="34" t="str">
        <x:v>Dùng để nhận xét mối quan hệ sơ bộ giữa các biến và kiểm tra đa cộng tuyến sơ bộ.</x:v>
      </x:c>
    </x:row>
    <x:row r="10">
      <x:c r="A10" s="32" t="str">
        <x:v>6. Hồi quy OLS</x:v>
      </x:c>
      <x:c r="B10" s="34" t="str">
        <x:v>Dùng để viết phần Results &amp; Discussion. Bảng dùng công thức Excel LINEST/CORREL nên có thể tái lập khi mở bằng Excel.</x:v>
      </x:c>
    </x:row>
    <x:row r="11">
      <x:c r="A11" s="32" t="str">
        <x:v>7. Nguồn dữ liệu</x:v>
      </x:c>
      <x:c r="B11" s="34" t="str">
        <x:v>Ghi rõ URL nguồn dữ liệu và lưu ý khi trích dẫn trong báo cáo.</x:v>
      </x:c>
    </x:row>
    <x:row r="13" ht="42" customHeight="1">
      <x:c r="A13" s="40" t="str">
        <x:v>Lưu ý quan trọng: Dữ liệu tài khóa 2005–2008 và 2009–2020 được ghép từ hai nguồn công khai khác nhau. Khi viết báo cáo, nên đưa điểm này vào phần hạn chế dữ liệu.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8" hidden="0" customWidth="1"/>
    <x:col min="4" max="4" width="20" hidden="0" customWidth="1"/>
    <x:col min="5" max="5" width="8" hidden="0" customWidth="1"/>
    <x:col min="6" max="6" width="8" hidden="0" customWidth="1"/>
    <x:col min="7" max="7" width="24" hidden="0" customWidth="1"/>
    <x:col min="8" max="8" width="8" hidden="0" customWidth="1"/>
    <x:col min="9" max="9" width="8" hidden="0" customWidth="1"/>
    <x:col min="10" max="10" width="22" hidden="0" customWidth="1"/>
    <x:col min="11" max="11" width="8" hidden="0" customWidth="1"/>
    <x:col min="12" max="12" width="8" hidden="0" customWidth="1"/>
  </x:cols>
  <x:sheetData>
    <x:row r="1" ht="34" customHeight="1">
      <x:c r="A1" s="8" t="str">
        <x:v>Dashboard – Tài chính công và tăng trưởng Việt Nam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 customHeight="1">
      <x:c r="A2" s="12" t="str">
        <x:v>Tổng quan nhanh bộ dữ liệu 2005–2020 cho phần nhận xét và trình bày báo cáo.</x:v>
      </x:c>
    </x:row>
    <x:row r="4" ht="22" customHeight="1">
      <x:c r="A4" s="150" t="str">
        <x:v>Tăng trưởng GDP TB</x:v>
      </x:c>
      <x:c r="B4" s="151"/>
      <x:c r="C4" s="152"/>
      <x:c r="D4" s="150" t="str">
        <x:v>Thu/GDP TB</x:v>
      </x:c>
      <x:c r="E4" s="151"/>
      <x:c r="F4" s="152"/>
      <x:c r="G4" s="150" t="str">
        <x:v>Chi/GDP TB</x:v>
      </x:c>
      <x:c r="H4" s="151"/>
      <x:c r="I4" s="152"/>
      <x:c r="J4" s="150" t="str">
        <x:v>Lạm phát cao nhất</x:v>
      </x:c>
      <x:c r="K4" s="151"/>
      <x:c r="L4" s="152"/>
    </x:row>
    <x:row r="5" ht="30" customHeight="1">
      <x:c r="A5" s="216" t="str">
        <x:v>6.33</x:v>
      </x:c>
      <x:c r="B5" s="154"/>
      <x:c r="C5" s="155"/>
      <x:c r="D5" s="216" t="str">
        <x:v>25.35</x:v>
      </x:c>
      <x:c r="E5" s="154"/>
      <x:c r="F5" s="155"/>
      <x:c r="G5" s="216" t="str">
        <x:v>28.88</x:v>
      </x:c>
      <x:c r="H5" s="154"/>
      <x:c r="I5" s="155"/>
      <x:c r="J5" s="216" t="str">
        <x:v>23.12</x:v>
      </x:c>
      <x:c r="K5" s="154"/>
      <x:c r="L5" s="155"/>
    </x:row>
    <x:row r="6" ht="22" customHeight="1">
      <x:c r="A6" s="156" t="str">
        <x:v>%</x:v>
      </x:c>
      <x:c r="B6" s="157"/>
      <x:c r="C6" s="158"/>
      <x:c r="D6" s="156" t="str">
        <x:v>% GDP</x:v>
      </x:c>
      <x:c r="E6" s="157"/>
      <x:c r="F6" s="158"/>
      <x:c r="G6" s="156" t="str">
        <x:v>% GDP</x:v>
      </x:c>
      <x:c r="H6" s="157"/>
      <x:c r="I6" s="158"/>
      <x:c r="J6" s="156" t="str">
        <x:v>%</x:v>
      </x:c>
      <x:c r="K6" s="157"/>
      <x:c r="L6" s="158"/>
    </x:row>
    <x:row r="7" ht="12" customHeight="1"/>
    <x:row r="8" ht="22" customHeight="1">
      <x:c r="A8" s="172" t="str">
        <x:v>Bội chi/GDP TB</x:v>
      </x:c>
      <x:c r="B8" s="173"/>
      <x:c r="C8" s="174"/>
      <x:c r="D8" s="172" t="str">
        <x:v>Số quan sát</x:v>
      </x:c>
      <x:c r="E8" s="173"/>
      <x:c r="F8" s="174"/>
      <x:c r="G8" s="172" t="str">
        <x:v>Năm tăng trưởng thấp nhất</x:v>
      </x:c>
      <x:c r="H8" s="173"/>
      <x:c r="I8" s="174"/>
      <x:c r="J8" s="172" t="str">
        <x:v>Tăng trưởng thấp nhất</x:v>
      </x:c>
      <x:c r="K8" s="173"/>
      <x:c r="L8" s="174"/>
    </x:row>
    <x:row r="9" ht="30" customHeight="1">
      <x:c r="A9" s="218" t="str">
        <x:v>-3.53</x:v>
      </x:c>
      <x:c r="B9" s="176"/>
      <x:c r="C9" s="177"/>
      <x:c r="D9" s="218" t="str">
        <x:v>16</x:v>
      </x:c>
      <x:c r="E9" s="176"/>
      <x:c r="F9" s="177"/>
      <x:c r="G9" s="218" t="str">
        <x:v>2020</x:v>
      </x:c>
      <x:c r="H9" s="176"/>
      <x:c r="I9" s="177"/>
      <x:c r="J9" s="218" t="str">
        <x:v>2.87</x:v>
      </x:c>
      <x:c r="K9" s="176"/>
      <x:c r="L9" s="177"/>
    </x:row>
    <x:row r="10" ht="22" customHeight="1">
      <x:c r="A10" s="178" t="str">
        <x:v>% GDP</x:v>
      </x:c>
      <x:c r="B10" s="179"/>
      <x:c r="C10" s="180"/>
      <x:c r="D10" s="178" t="str">
        <x:v>năm</x:v>
      </x:c>
      <x:c r="E10" s="179"/>
      <x:c r="F10" s="180"/>
      <x:c r="G10" s="178" t="str">
        <x:v>năm</x:v>
      </x:c>
      <x:c r="H10" s="179"/>
      <x:c r="I10" s="180"/>
      <x:c r="J10" s="178" t="str">
        <x:v>%</x:v>
      </x:c>
      <x:c r="K10" s="179"/>
      <x:c r="L10" s="180"/>
    </x:row>
    <x:row r="11" ht="12" customHeight="1"/>
    <x:row r="12" ht="28" customHeight="1">
      <x:c r="A12" s="120" t="str">
        <x:v>Gợi ý nhận xét nhanh</x:v>
      </x:c>
    </x:row>
    <x:row r="13" ht="30" customHeight="1">
      <x:c r="A13" s="192" t="str">
        <x:v>1</x:v>
      </x:c>
      <x:c r="B13" s="190" t="str">
        <x:v>Giai đoạn 2005–2020 có đủ 16 quan sát theo năm, phù hợp với hồi quy OLS đơn giản nhưng không nên đưa quá nhiều biến độc lập.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</x:row>
    <x:row r="14" ht="30" customHeight="1">
      <x:c r="A14" s="192" t="str">
        <x:v>2</x:v>
      </x:c>
      <x:c r="B14" s="190" t="str">
        <x:v>Revenue_GDP và Expenditure_GDP là biến tỷ lệ so với GDP, giúp hạn chế sai lệch do quy mô GDP tăng theo thời gian.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</x:row>
    <x:row r="15" ht="30" customHeight="1">
      <x:c r="A15" s="192" t="str">
        <x:v>3</x:v>
      </x:c>
      <x:c r="B15" s="190" t="str">
        <x:v>Balance_GDP thường âm, phản ánh tình trạng bội chi; có thể dùng làm mô hình kiểm tra thêm.</x:v>
      </x:c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</x:row>
    <x:row r="16" ht="30" customHeight="1">
      <x:c r="A16" s="192" t="str">
        <x:v>4</x:v>
      </x:c>
      <x:c r="B16" s="190" t="str">
        <x:v>Năm 2020 là cú sốc COVID-19, tăng trưởng giảm mạnh; khi diễn giải cần nhắc bối cảnh đặc biệt này.</x:v>
      </x:c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</x:row>
    <x:row r="17" ht="12" customHeight="1"/>
    <x:row r="18" ht="12" customHeight="1"/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8:C8"/>
    <x:mergeCell ref="A9:C9"/>
    <x:mergeCell ref="A10:C10"/>
    <x:mergeCell ref="D8:F8"/>
    <x:mergeCell ref="D9:F9"/>
    <x:mergeCell ref="D10:F10"/>
    <x:mergeCell ref="G8:I8"/>
    <x:mergeCell ref="G9:I9"/>
    <x:mergeCell ref="G10:I10"/>
    <x:mergeCell ref="J8:L8"/>
    <x:mergeCell ref="J9:L9"/>
    <x:mergeCell ref="J10:L10"/>
    <x:mergeCell ref="A12:L12"/>
    <x:mergeCell ref="B13:L13"/>
    <x:mergeCell ref="B14:L14"/>
    <x:mergeCell ref="B15:L15"/>
    <x:mergeCell ref="B16:L16"/>
  </x:mergeCells>
  <x:pageMargins left="0.7" right="0.7" top="0.75" bottom="0.75" header="0.3" footer="0.3"/>
  <x:drawing xmlns:r="http://schemas.openxmlformats.org/officeDocument/2006/relationships" r:id="Rd0a0191331b5419c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17" hidden="0" customWidth="1"/>
    <x:col min="5" max="5" width="12" hidden="0" customWidth="1"/>
    <x:col min="6" max="6" width="13" hidden="0" customWidth="1"/>
    <x:col min="7" max="7" width="18" hidden="0" customWidth="1"/>
    <x:col min="8" max="8" width="20" hidden="0" customWidth="1"/>
    <x:col min="9" max="9" width="22" hidden="0" customWidth="1"/>
    <x:col min="10" max="10" width="28" hidden="0" customWidth="1"/>
    <x:col min="11" max="11" width="46" hidden="0" customWidth="1"/>
  </x:cols>
  <x:sheetData>
    <x:row r="1" ht="34" customHeight="1">
      <x:c r="A1" s="144" t="str">
        <x:v>Dữ liệu tài chính công Việt Nam giai đoạn 2005–2020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Đơn vị chính: %, tỷ USD; các cột có chú thích, đơn vị và công thức ngay phía trên bảng dữ liệu.</x:v>
      </x:c>
    </x:row>
    <x:row r="4" ht="26" customHeight="1">
      <x:c r="A4" s="52" t="str">
        <x:v>Year</x:v>
      </x:c>
      <x:c r="B4" s="52" t="str">
        <x:v>GDP_Growth</x:v>
      </x:c>
      <x:c r="C4" s="52" t="str">
        <x:v>Revenue_GDP</x:v>
      </x:c>
      <x:c r="D4" s="52" t="str">
        <x:v>Expenditure_GDP</x:v>
      </x:c>
      <x:c r="E4" s="52" t="str">
        <x:v>Inflation</x:v>
      </x:c>
      <x:c r="F4" s="52" t="str">
        <x:v>Balance_GDP</x:v>
      </x:c>
      <x:c r="G4" s="52" t="str">
        <x:v>GDP_Current_USD_bn</x:v>
      </x:c>
      <x:c r="H4" s="52" t="str">
        <x:v>Budget_Revenue_USD_bn</x:v>
      </x:c>
      <x:c r="I4" s="52" t="str">
        <x:v>Budget_Expenditure_USD_bn</x:v>
      </x:c>
      <x:c r="J4" s="52" t="str">
        <x:v>Fiscal_Source</x:v>
      </x:c>
      <x:c r="K4" s="52" t="str">
        <x:v>Data_Note</x:v>
      </x:c>
    </x:row>
    <x:row r="5" ht="54" customHeight="1">
      <x:c r="A5" s="53" t="str">
        <x:v>Năm quan sát</x:v>
      </x:c>
      <x:c r="B5" s="53" t="str">
        <x:v>Tăng trưởng GDP thực hằng năm</x:v>
      </x:c>
      <x:c r="C5" s="53" t="str">
        <x:v>Tổng thu ngân sách/chính phủ so với GDP</x:v>
      </x:c>
      <x:c r="D5" s="53" t="str">
        <x:v>Tổng chi ngân sách/chính phủ so với GDP</x:v>
      </x:c>
      <x:c r="E5" s="53" t="str">
        <x:v>Lạm phát CPI hằng năm</x:v>
      </x:c>
      <x:c r="F5" s="53" t="str">
        <x:v>Cân đối ngân sách so với GDP = Thu/GDP - Chi/GDP</x:v>
      </x:c>
      <x:c r="G5" s="53" t="str">
        <x:v>GDP theo giá hiện hành, quy đổi tỷ USD</x:v>
      </x:c>
      <x:c r="H5" s="53" t="str">
        <x:v>Ước tính thu ngân sách theo USD = GDP_Current × Revenue_GDP/100</x:v>
      </x:c>
      <x:c r="I5" s="53" t="str">
        <x:v>Ước tính chi ngân sách theo USD = GDP_Current × Expenditure_GDP/100</x:v>
      </x:c>
      <x:c r="J5" s="53" t="str">
        <x:v>Nguồn dùng cho tỷ lệ thu/chi tài khóa</x:v>
      </x:c>
      <x:c r="K5" s="53" t="str">
        <x:v>Ghi chú chất lượng dữ liệu</x:v>
      </x:c>
    </x:row>
    <x:row r="6" ht="24" customHeight="1">
      <x:c r="A6" s="53" t="str">
        <x:v>Năm</x:v>
      </x:c>
      <x:c r="B6" s="53" t="str">
        <x:v>%</x:v>
      </x:c>
      <x:c r="C6" s="53" t="str">
        <x:v>% GDP</x:v>
      </x:c>
      <x:c r="D6" s="53" t="str">
        <x:v>% GDP</x:v>
      </x:c>
      <x:c r="E6" s="53" t="str">
        <x:v>%</x:v>
      </x:c>
      <x:c r="F6" s="53" t="str">
        <x:v>% GDP</x:v>
      </x:c>
      <x:c r="G6" s="53" t="str">
        <x:v>Tỷ USD</x:v>
      </x:c>
      <x:c r="H6" s="53" t="str">
        <x:v>Tỷ USD</x:v>
      </x:c>
      <x:c r="I6" s="53" t="str">
        <x:v>Tỷ USD</x:v>
      </x:c>
      <x:c r="J6" s="53" t="str">
        <x:v>Văn bản</x:v>
      </x:c>
      <x:c r="K6" s="53" t="str">
        <x:v>Văn bản</x:v>
      </x:c>
    </x:row>
    <x:row r="8" ht="34" customHeight="1">
      <x:c r="A8" s="24" t="str">
        <x:v>Year</x:v>
      </x:c>
      <x:c r="B8" s="24" t="str">
        <x:v>GDP_Growth</x:v>
      </x:c>
      <x:c r="C8" s="24" t="str">
        <x:v>Revenue_GDP</x:v>
      </x:c>
      <x:c r="D8" s="24" t="str">
        <x:v>Expenditure_GDP</x:v>
      </x:c>
      <x:c r="E8" s="24" t="str">
        <x:v>Inflation</x:v>
      </x:c>
      <x:c r="F8" s="24" t="str">
        <x:v>Balance_GDP</x:v>
      </x:c>
      <x:c r="G8" s="24" t="str">
        <x:v>GDP_Current_USD_bn</x:v>
      </x:c>
      <x:c r="H8" s="24" t="str">
        <x:v>Budget_Revenue_USD_bn</x:v>
      </x:c>
      <x:c r="I8" s="24" t="str">
        <x:v>Budget_Expenditure_USD_bn</x:v>
      </x:c>
      <x:c r="J8" s="24" t="str">
        <x:v>Fiscal_Source</x:v>
      </x:c>
      <x:c r="K8" s="24" t="str">
        <x:v>Data_Note</x:v>
      </x:c>
    </x:row>
    <x:row r="9" ht="22" customHeight="1">
      <x:c r="A9" s="56" t="n">
        <x:v>2005</x:v>
      </x:c>
      <x:c r="B9" s="58" t="n">
        <x:v>7.5472557754</x:v>
      </x:c>
      <x:c r="C9" s="58" t="n">
        <x:v>27.2</x:v>
      </x:c>
      <x:c r="D9" s="58" t="n">
        <x:v>28.51</x:v>
      </x:c>
      <x:c r="E9" s="58" t="n">
        <x:v>8.28457243128677</x:v>
      </x:c>
      <x:c r="F9" s="58" t="n">
        <x:f>C9-D9</x:f>
        <x:v>-1.3100000000000023</x:v>
      </x:c>
      <x:c r="G9" s="58" t="n">
        <x:v>57.6332557381992</x:v>
      </x:c>
      <x:c r="H9" s="58" t="n">
        <x:f>G9*C9/100</x:f>
        <x:v>15.676245560790182</x:v>
      </x:c>
      <x:c r="I9" s="58" t="n">
        <x:f>G9*D9/100</x:f>
        <x:v>16.431241210960593</x:v>
      </x:c>
      <x:c r="J9" s="34" t="str">
        <x:v>IMF WEO via EconStats</x:v>
      </x:c>
      <x:c r="K9" s="34" t="str">
        <x:v>Fiscal ratios 2005–2008 dùng nguồn IMF WEO qua EconStats</x:v>
      </x:c>
    </x:row>
    <x:row r="10" ht="22" customHeight="1">
      <x:c r="A10" s="56" t="n">
        <x:v>2006</x:v>
      </x:c>
      <x:c r="B10" s="58" t="n">
        <x:v>6.977974882</x:v>
      </x:c>
      <x:c r="C10" s="58" t="n">
        <x:v>28.69</x:v>
      </x:c>
      <x:c r="D10" s="58" t="n">
        <x:v>28.39</x:v>
      </x:c>
      <x:c r="E10" s="58" t="n">
        <x:v>7.41801715108463</x:v>
      </x:c>
      <x:c r="F10" s="58" t="n">
        <x:f>C10-D10</x:f>
        <x:v>0.3000000000000007</x:v>
      </x:c>
      <x:c r="G10" s="58" t="n">
        <x:v>66.37166481704361</x:v>
      </x:c>
      <x:c r="H10" s="58" t="n">
        <x:f>G10*C10/100</x:f>
        <x:v>19.042030636009812</x:v>
      </x:c>
      <x:c r="I10" s="58" t="n">
        <x:f>G10*D10/100</x:f>
        <x:v>18.842915641558683</x:v>
      </x:c>
      <x:c r="J10" s="34" t="str">
        <x:v>IMF WEO via EconStats</x:v>
      </x:c>
      <x:c r="K10" s="34" t="str">
        <x:v>Fiscal ratios 2005–2008 dùng nguồn IMF WEO qua EconStats</x:v>
      </x:c>
    </x:row>
    <x:row r="11" ht="22" customHeight="1">
      <x:c r="A11" s="56" t="n">
        <x:v>2007</x:v>
      </x:c>
      <x:c r="B11" s="58" t="n">
        <x:v>7.1294934868</x:v>
      </x:c>
      <x:c r="C11" s="58" t="n">
        <x:v>28.45</x:v>
      </x:c>
      <x:c r="D11" s="58" t="n">
        <x:v>30.63</x:v>
      </x:c>
      <x:c r="E11" s="58" t="n">
        <x:v>8.34444889773837</x:v>
      </x:c>
      <x:c r="F11" s="58" t="n">
        <x:f>C11-D11</x:f>
        <x:v>-2.1799999999999997</x:v>
      </x:c>
      <x:c r="G11" s="58" t="n">
        <x:v>77.41442553224519</x:v>
      </x:c>
      <x:c r="H11" s="58" t="n">
        <x:f>G11*C11/100</x:f>
        <x:v>22.024404063923757</x:v>
      </x:c>
      <x:c r="I11" s="58" t="n">
        <x:f>G11*D11/100</x:f>
        <x:v>23.712038540526702</x:v>
      </x:c>
      <x:c r="J11" s="34" t="str">
        <x:v>IMF WEO via EconStats</x:v>
      </x:c>
      <x:c r="K11" s="34" t="str">
        <x:v>Fiscal ratios 2005–2008 dùng nguồn IMF WEO qua EconStats</x:v>
      </x:c>
    </x:row>
    <x:row r="12" ht="22" customHeight="1">
      <x:c r="A12" s="56" t="n">
        <x:v>2008</x:v>
      </x:c>
      <x:c r="B12" s="58" t="n">
        <x:v>5.6617868727</x:v>
      </x:c>
      <x:c r="C12" s="58" t="n">
        <x:v>28.91</x:v>
      </x:c>
      <x:c r="D12" s="58" t="n">
        <x:v>29.45</x:v>
      </x:c>
      <x:c r="E12" s="58" t="n">
        <x:v>23.1154483474477</x:v>
      </x:c>
      <x:c r="F12" s="58" t="n">
        <x:f>C12-D12</x:f>
        <x:v>-0.5399999999999991</x:v>
      </x:c>
      <x:c r="G12" s="58" t="n">
        <x:v>99.1303040991274</x:v>
      </x:c>
      <x:c r="H12" s="58" t="n">
        <x:f>G12*C12/100</x:f>
        <x:v>28.65857091505773</x:v>
      </x:c>
      <x:c r="I12" s="58" t="n">
        <x:f>G12*D12/100</x:f>
        <x:v>29.193874557193016</x:v>
      </x:c>
      <x:c r="J12" s="34" t="str">
        <x:v>IMF WEO via EconStats</x:v>
      </x:c>
      <x:c r="K12" s="34" t="str">
        <x:v>Fiscal ratios 2005–2008 dùng nguồn IMF WEO qua EconStats</x:v>
      </x:c>
    </x:row>
    <x:row r="13" ht="22" customHeight="1">
      <x:c r="A13" s="56" t="n">
        <x:v>2009</x:v>
      </x:c>
      <x:c r="B13" s="58" t="n">
        <x:v>5.3978714502</x:v>
      </x:c>
      <x:c r="C13" s="58" t="n">
        <x:v>25.6</x:v>
      </x:c>
      <x:c r="D13" s="58" t="n">
        <x:v>31.6</x:v>
      </x:c>
      <x:c r="E13" s="58" t="n">
        <x:v>6.71698269988629</x:v>
      </x:c>
      <x:c r="F13" s="58" t="n">
        <x:f>C13-D13</x:f>
        <x:v>-6</x:v>
      </x:c>
      <x:c r="G13" s="58" t="n">
        <x:v>106.014659565214</x:v>
      </x:c>
      <x:c r="H13" s="58" t="n">
        <x:f>G13*C13/100</x:f>
        <x:v>27.139752848694787</x:v>
      </x:c>
      <x:c r="I13" s="58" t="n">
        <x:f>G13*D13/100</x:f>
        <x:v>33.50063242260763</x:v>
      </x:c>
      <x:c r="J13" s="34" t="str">
        <x:v>World Bank MPO Selected Indicators</x:v>
      </x:c>
      <x:c r="K13" s="34" t="str">
        <x:v>Fiscal ratios 2009–2020 dùng World Bank MPO selected indicators</x:v>
      </x:c>
    </x:row>
    <x:row r="14" ht="22" customHeight="1">
      <x:c r="A14" s="56" t="n">
        <x:v>2010</x:v>
      </x:c>
      <x:c r="B14" s="58" t="n">
        <x:v>6.4232673765</x:v>
      </x:c>
      <x:c r="C14" s="58" t="n">
        <x:v>27.3</x:v>
      </x:c>
      <x:c r="D14" s="58" t="n">
        <x:v>30</x:v>
      </x:c>
      <x:c r="E14" s="58" t="n">
        <x:v>9.20746648778413</x:v>
      </x:c>
      <x:c r="F14" s="58" t="n">
        <x:f>C14-D14</x:f>
        <x:v>-2.6999999999999993</x:v>
      </x:c>
      <x:c r="G14" s="58" t="n">
        <x:v>147.201173196979</x:v>
      </x:c>
      <x:c r="H14" s="58" t="n">
        <x:f>G14*C14/100</x:f>
        <x:v>40.18592028277527</x:v>
      </x:c>
      <x:c r="I14" s="58" t="n">
        <x:f>G14*D14/100</x:f>
        <x:v>44.160351959093695</x:v>
      </x:c>
      <x:c r="J14" s="34" t="str">
        <x:v>World Bank MPO Selected Indicators</x:v>
      </x:c>
      <x:c r="K14" s="34" t="str">
        <x:v>Fiscal ratios 2009–2020 dùng World Bank MPO selected indicators</x:v>
      </x:c>
    </x:row>
    <x:row r="15" ht="22" customHeight="1">
      <x:c r="A15" s="56" t="n">
        <x:v>2011</x:v>
      </x:c>
      <x:c r="B15" s="58" t="n">
        <x:v>6.4131688968</x:v>
      </x:c>
      <x:c r="C15" s="58" t="n">
        <x:v>25.9</x:v>
      </x:c>
      <x:c r="D15" s="58" t="n">
        <x:v>27</x:v>
      </x:c>
      <x:c r="E15" s="58" t="n">
        <x:v>18.6777322770707</x:v>
      </x:c>
      <x:c r="F15" s="58" t="n">
        <x:f>C15-D15</x:f>
        <x:v>-1.1000000000000014</x:v>
      </x:c>
      <x:c r="G15" s="58" t="n">
        <x:v>172.595049183925</x:v>
      </x:c>
      <x:c r="H15" s="58" t="n">
        <x:f>G15*C15/100</x:f>
        <x:v>44.702117738636574</x:v>
      </x:c>
      <x:c r="I15" s="58" t="n">
        <x:f>G15*D15/100</x:f>
        <x:v>46.60066327965975</x:v>
      </x:c>
      <x:c r="J15" s="34" t="str">
        <x:v>World Bank MPO Selected Indicators</x:v>
      </x:c>
      <x:c r="K15" s="34" t="str">
        <x:v>Fiscal ratios 2009–2020 dùng World Bank MPO selected indicators</x:v>
      </x:c>
    </x:row>
    <x:row r="16" ht="22" customHeight="1">
      <x:c r="A16" s="56" t="n">
        <x:v>2012</x:v>
      </x:c>
      <x:c r="B16" s="58" t="n">
        <x:v>5.5045447041</x:v>
      </x:c>
      <x:c r="C16" s="58" t="n">
        <x:v>22.6</x:v>
      </x:c>
      <x:c r="D16" s="58" t="n">
        <x:v>29.5</x:v>
      </x:c>
      <x:c r="E16" s="58" t="n">
        <x:v>9.09470339557192</x:v>
      </x:c>
      <x:c r="F16" s="58" t="n">
        <x:f>C16-D16</x:f>
        <x:v>-6.899999999999999</x:v>
      </x:c>
      <x:c r="G16" s="58" t="n">
        <x:v>195.59066112924899</x:v>
      </x:c>
      <x:c r="H16" s="58" t="n">
        <x:f>G16*C16/100</x:f>
        <x:v>44.20348941521027</x:v>
      </x:c>
      <x:c r="I16" s="58" t="n">
        <x:f>G16*D16/100</x:f>
        <x:v>57.699245033128456</x:v>
      </x:c>
      <x:c r="J16" s="34" t="str">
        <x:v>World Bank MPO Selected Indicators</x:v>
      </x:c>
      <x:c r="K16" s="34" t="str">
        <x:v>Fiscal ratios 2009–2020 dùng World Bank MPO selected indicators</x:v>
      </x:c>
    </x:row>
    <x:row r="17" ht="22" customHeight="1">
      <x:c r="A17" s="56" t="n">
        <x:v>2013</x:v>
      </x:c>
      <x:c r="B17" s="58" t="n">
        <x:v>5.5535108103</x:v>
      </x:c>
      <x:c r="C17" s="58" t="n">
        <x:v>23.1</x:v>
      </x:c>
      <x:c r="D17" s="58" t="n">
        <x:v>30.5</x:v>
      </x:c>
      <x:c r="E17" s="58" t="n">
        <x:v>6.59267475899192</x:v>
      </x:c>
      <x:c r="F17" s="58" t="n">
        <x:f>C17-D17</x:f>
        <x:v>-7.399999999999999</x:v>
      </x:c>
      <x:c r="G17" s="58" t="n">
        <x:v>213.70881166534</x:v>
      </x:c>
      <x:c r="H17" s="58" t="n">
        <x:f>G17*C17/100</x:f>
        <x:v>49.366735494693536</x:v>
      </x:c>
      <x:c r="I17" s="58" t="n">
        <x:f>G17*D17/100</x:f>
        <x:v>65.1811875579287</x:v>
      </x:c>
      <x:c r="J17" s="34" t="str">
        <x:v>World Bank MPO Selected Indicators</x:v>
      </x:c>
      <x:c r="K17" s="34" t="str">
        <x:v>Fiscal ratios 2009–2020 dùng World Bank MPO selected indicators</x:v>
      </x:c>
    </x:row>
    <x:row r="18" ht="22" customHeight="1">
      <x:c r="A18" s="56" t="n">
        <x:v>2014</x:v>
      </x:c>
      <x:c r="B18" s="58" t="n">
        <x:v>6.4222431212</x:v>
      </x:c>
      <x:c r="C18" s="58" t="n">
        <x:v>22.2</x:v>
      </x:c>
      <x:c r="D18" s="58" t="n">
        <x:v>28.5</x:v>
      </x:c>
      <x:c r="E18" s="58" t="n">
        <x:v>4.08455446637617</x:v>
      </x:c>
      <x:c r="F18" s="58" t="n">
        <x:f>C18-D18</x:f>
        <x:v>-6.300000000000001</x:v>
      </x:c>
      <x:c r="G18" s="58" t="n">
        <x:v>233.45146964251902</x:v>
      </x:c>
      <x:c r="H18" s="58" t="n">
        <x:f>G18*C18/100</x:f>
        <x:v>51.826226260639224</x:v>
      </x:c>
      <x:c r="I18" s="58" t="n">
        <x:f>G18*D18/100</x:f>
        <x:v>66.53366884811793</x:v>
      </x:c>
      <x:c r="J18" s="34" t="str">
        <x:v>World Bank MPO Selected Indicators</x:v>
      </x:c>
      <x:c r="K18" s="34" t="str">
        <x:v>Fiscal ratios 2009–2020 dùng World Bank MPO selected indicators</x:v>
      </x:c>
    </x:row>
    <x:row r="19" ht="22" customHeight="1">
      <x:c r="A19" s="56" t="n">
        <x:v>2015</x:v>
      </x:c>
      <x:c r="B19" s="58" t="n">
        <x:v>6.987154306</x:v>
      </x:c>
      <x:c r="C19" s="58" t="n">
        <x:v>23.8</x:v>
      </x:c>
      <x:c r="D19" s="58" t="n">
        <x:v>29.9</x:v>
      </x:c>
      <x:c r="E19" s="58" t="n">
        <x:v>0.631200905175754</x:v>
      </x:c>
      <x:c r="F19" s="58" t="n">
        <x:f>C19-D19</x:f>
        <x:v>-6.099999999999998</x:v>
      </x:c>
      <x:c r="G19" s="58" t="n">
        <x:v>239.258328381741</x:v>
      </x:c>
      <x:c r="H19" s="58" t="n">
        <x:f>G19*C19/100</x:f>
        <x:v>56.94348215485436</x:v>
      </x:c>
      <x:c r="I19" s="58" t="n">
        <x:f>G19*D19/100</x:f>
        <x:v>71.53824018614056</x:v>
      </x:c>
      <x:c r="J19" s="34" t="str">
        <x:v>World Bank MPO Selected Indicators</x:v>
      </x:c>
      <x:c r="K19" s="34" t="str">
        <x:v>Fiscal ratios 2009–2020 dùng World Bank MPO selected indicators</x:v>
      </x:c>
    </x:row>
    <x:row r="20" ht="22" customHeight="1">
      <x:c r="A20" s="56" t="n">
        <x:v>2016</x:v>
      </x:c>
      <x:c r="B20" s="58" t="n">
        <x:v>6.6900089266</x:v>
      </x:c>
      <x:c r="C20" s="58" t="n">
        <x:v>23.9</x:v>
      </x:c>
      <x:c r="D20" s="58" t="n">
        <x:v>27.8</x:v>
      </x:c>
      <x:c r="E20" s="58" t="n">
        <x:v>2.66824816969082</x:v>
      </x:c>
      <x:c r="F20" s="58" t="n">
        <x:f>C20-D20</x:f>
        <x:v>-3.900000000000002</x:v>
      </x:c>
      <x:c r="G20" s="58" t="n">
        <x:v>257.096001177982</x:v>
      </x:c>
      <x:c r="H20" s="58" t="n">
        <x:f>G20*C20/100</x:f>
        <x:v>61.445944281537685</x:v>
      </x:c>
      <x:c r="I20" s="58" t="n">
        <x:f>G20*D20/100</x:f>
        <x:v>71.47268832747899</x:v>
      </x:c>
      <x:c r="J20" s="34" t="str">
        <x:v>World Bank MPO Selected Indicators</x:v>
      </x:c>
      <x:c r="K20" s="34" t="str">
        <x:v>Fiscal ratios 2009–2020 dùng World Bank MPO selected indicators</x:v>
      </x:c>
    </x:row>
    <x:row r="21" ht="22" customHeight="1">
      <x:c r="A21" s="56" t="n">
        <x:v>2017</x:v>
      </x:c>
      <x:c r="B21" s="58" t="n">
        <x:v>6.9401903736</x:v>
      </x:c>
      <x:c r="C21" s="58" t="n">
        <x:v>24.6</x:v>
      </x:c>
      <x:c r="D21" s="58" t="n">
        <x:v>27.1</x:v>
      </x:c>
      <x:c r="E21" s="58" t="n">
        <x:v>3.52025688811617</x:v>
      </x:c>
      <x:c r="F21" s="58" t="n">
        <x:f>C21-D21</x:f>
        <x:v>-2.5</x:v>
      </x:c>
      <x:c r="G21" s="58" t="n">
        <x:v>281.353605986903</x:v>
      </x:c>
      <x:c r="H21" s="58" t="n">
        <x:f>G21*C21/100</x:f>
        <x:v>69.21298707277815</x:v>
      </x:c>
      <x:c r="I21" s="58" t="n">
        <x:f>G21*D21/100</x:f>
        <x:v>76.24682722245072</x:v>
      </x:c>
      <x:c r="J21" s="34" t="str">
        <x:v>World Bank MPO Selected Indicators</x:v>
      </x:c>
      <x:c r="K21" s="34" t="str">
        <x:v>Fiscal ratios 2009–2020 dùng World Bank MPO selected indicators</x:v>
      </x:c>
    </x:row>
    <x:row r="22" ht="22" customHeight="1">
      <x:c r="A22" s="56" t="n">
        <x:v>2018</x:v>
      </x:c>
      <x:c r="B22" s="58" t="n">
        <x:v>7.4650068557</x:v>
      </x:c>
      <x:c r="C22" s="58" t="n">
        <x:v>24.6</x:v>
      </x:c>
      <x:c r="D22" s="58" t="n">
        <x:v>25.9</x:v>
      </x:c>
      <x:c r="E22" s="58" t="n">
        <x:v>3.53962805942641</x:v>
      </x:c>
      <x:c r="F22" s="58" t="n">
        <x:f>C22-D22</x:f>
        <x:v>-1.2999999999999972</x:v>
      </x:c>
      <x:c r="G22" s="58" t="n">
        <x:v>310.106478394659</x:v>
      </x:c>
      <x:c r="H22" s="58" t="n">
        <x:f>G22*C22/100</x:f>
        <x:v>76.28619368508612</x:v>
      </x:c>
      <x:c r="I22" s="58" t="n">
        <x:f>G22*D22/100</x:f>
        <x:v>80.31757790421668</x:v>
      </x:c>
      <x:c r="J22" s="34" t="str">
        <x:v>World Bank MPO Selected Indicators</x:v>
      </x:c>
      <x:c r="K22" s="34" t="str">
        <x:v>Fiscal ratios 2009–2020 dùng World Bank MPO selected indicators</x:v>
      </x:c>
    </x:row>
    <x:row r="23" ht="22" customHeight="1">
      <x:c r="A23" s="56" t="n">
        <x:v>2019</x:v>
      </x:c>
      <x:c r="B23" s="58" t="n">
        <x:v>7.3592627011</x:v>
      </x:c>
      <x:c r="C23" s="58" t="n">
        <x:v>24.8</x:v>
      </x:c>
      <x:c r="D23" s="58" t="n">
        <x:v>29</x:v>
      </x:c>
      <x:c r="E23" s="58" t="n">
        <x:v>2.7958236745225</x:v>
      </x:c>
      <x:c r="F23" s="58" t="n">
        <x:f>C23-D23</x:f>
        <x:v>-4.199999999999999</x:v>
      </x:c>
      <x:c r="G23" s="58" t="n">
        <x:v>334.365270496667</x:v>
      </x:c>
      <x:c r="H23" s="58" t="n">
        <x:f>G23*C23/100</x:f>
        <x:v>82.92258708317343</x:v>
      </x:c>
      <x:c r="I23" s="58" t="n">
        <x:f>G23*D23/100</x:f>
        <x:v>96.96592844403344</x:v>
      </x:c>
      <x:c r="J23" s="34" t="str">
        <x:v>World Bank MPO Selected Indicators</x:v>
      </x:c>
      <x:c r="K23" s="34" t="str">
        <x:v>Fiscal ratios 2009–2020 dùng World Bank MPO selected indicators</x:v>
      </x:c>
    </x:row>
    <x:row r="24" ht="22" customHeight="1">
      <x:c r="A24" s="56" t="n">
        <x:v>2020</x:v>
      </x:c>
      <x:c r="B24" s="58" t="n">
        <x:v>2.8654132091</x:v>
      </x:c>
      <x:c r="C24" s="58" t="n">
        <x:v>23.9</x:v>
      </x:c>
      <x:c r="D24" s="58" t="n">
        <x:v>28.3</x:v>
      </x:c>
      <x:c r="E24" s="58" t="n">
        <x:v>3.22093436652514</x:v>
      </x:c>
      <x:c r="F24" s="58" t="n">
        <x:f>C24-D24</x:f>
        <x:v>-4.400000000000002</x:v>
      </x:c>
      <x:c r="G24" s="58" t="n">
        <x:v>346.615738537796</x:v>
      </x:c>
      <x:c r="H24" s="58" t="n">
        <x:f>G24*C24/100</x:f>
        <x:v>82.84116151053324</x:v>
      </x:c>
      <x:c r="I24" s="58" t="n">
        <x:f>G24*D24/100</x:f>
        <x:v>98.09225400619627</x:v>
      </x:c>
      <x:c r="J24" s="34" t="str">
        <x:v>World Bank MPO Selected Indicators</x:v>
      </x:c>
      <x:c r="K24" s="34" t="str">
        <x:v>Fiscal ratios 2009–2020 dùng World Bank MPO selected indicators</x:v>
      </x:c>
    </x:row>
  </x:sheetData>
  <x:mergeCells>
    <x:mergeCell ref="A1:K1"/>
    <x:mergeCell ref="A2:K2"/>
  </x:mergeCells>
  <x:conditionalFormatting sqref="F9:F24">
    <x:cfRule type="cellIs" dxfId="0" priority="1" operator="lessThan">
      <x:formula>0</x:formula>
    </x:cfRule>
  </x:conditionalFormatting>
  <x:conditionalFormatting sqref="E9:E24">
    <x:cfRule type="cellIs" dxfId="1" priority="2" operator="greaterThan">
      <x:formula>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9f6ee884a04f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3" hidden="0" customWidth="1"/>
    <x:col min="4" max="4" width="36" hidden="0" customWidth="1"/>
    <x:col min="5" max="5" width="22" hidden="0" customWidth="1"/>
    <x:col min="6" max="6" width="48" hidden="0" customWidth="1"/>
    <x:col min="7" max="7" width="48" hidden="0" customWidth="1"/>
  </x:cols>
  <x:sheetData>
    <x:row r="1" ht="34" customHeight="1">
      <x:c r="A1" s="144" t="str">
        <x:v>Mô tả biến và cách sử dụng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Codebook giúp người đọc hiểu nhanh từng biến, đơn vị, vai trò và cách diễn giải.</x:v>
      </x:c>
    </x:row>
    <x:row r="4">
      <x:c r="A4" s="24" t="str">
        <x:v>Biến</x:v>
      </x:c>
      <x:c r="B4" s="24" t="str">
        <x:v>Tên đầy đủ</x:v>
      </x:c>
      <x:c r="C4" s="24" t="str">
        <x:v>Đơn vị</x:v>
      </x:c>
      <x:c r="D4" s="24" t="str">
        <x:v>Nguồn/Công thức</x:v>
      </x:c>
      <x:c r="E4" s="24" t="str">
        <x:v>Vai trò</x:v>
      </x:c>
      <x:c r="F4" s="24" t="str">
        <x:v>Cách diễn giải</x:v>
      </x:c>
      <x:c r="G4" s="24" t="str">
        <x:v>Lưu ý</x:v>
      </x:c>
    </x:row>
    <x:row r="5" ht="48" customHeight="1">
      <x:c r="A5" s="32" t="str">
        <x:v>Year</x:v>
      </x:c>
      <x:c r="B5" s="30" t="str">
        <x:v>Năm quan sát</x:v>
      </x:c>
      <x:c r="C5" s="30" t="str">
        <x:v>Năm</x:v>
      </x:c>
      <x:c r="D5" s="34" t="str">
        <x:v>Dữ liệu theo năm 2005–2020</x:v>
      </x:c>
      <x:c r="E5" s="34" t="str">
        <x:v>Biến thời gian</x:v>
      </x:c>
      <x:c r="F5" s="34" t="str">
        <x:v>Mỗi dòng là một năm của Việt Nam</x:v>
      </x:c>
      <x:c r="G5" s="34" t="str">
        <x:v>Không dùng làm biến hồi quy chính.</x:v>
      </x:c>
    </x:row>
    <x:row r="6" ht="48" customHeight="1">
      <x:c r="A6" s="32" t="str">
        <x:v>GDP_Growth</x:v>
      </x:c>
      <x:c r="B6" s="30" t="str">
        <x:v>Tăng trưởng GDP thực</x:v>
      </x:c>
      <x:c r="C6" s="30" t="str">
        <x:v>%</x:v>
      </x:c>
      <x:c r="D6" s="34" t="str">
        <x:v>FRED/IMF WEO</x:v>
      </x:c>
      <x:c r="E6" s="34" t="str">
        <x:v>Biến phụ thuộc</x:v>
      </x:c>
      <x:c r="F6" s="34" t="str">
        <x:v>Tăng trưởng GDP tăng/giảm bao nhiêu điểm phần trăm theo năm.</x:v>
      </x:c>
      <x:c r="G6" s="34" t="str">
        <x:v>Biến Y trong mô hình chính.</x:v>
      </x:c>
    </x:row>
    <x:row r="7" ht="48" customHeight="1">
      <x:c r="A7" s="32" t="str">
        <x:v>Revenue_GDP</x:v>
      </x:c>
      <x:c r="B7" s="30" t="str">
        <x:v>Thu ngân sách/chính phủ so với GDP</x:v>
      </x:c>
      <x:c r="C7" s="30" t="str">
        <x:v>% GDP</x:v>
      </x:c>
      <x:c r="D7" s="34" t="str">
        <x:v>IMF WEO/EconStats và World Bank MPO</x:v>
      </x:c>
      <x:c r="E7" s="34" t="str">
        <x:v>Biến độc lập chính</x:v>
      </x:c>
      <x:c r="F7" s="34" t="str">
        <x:v>Tỷ lệ này tăng 1 điểm % thì GDP_Growth thay đổi theo hệ số β1.</x:v>
      </x:c>
      <x:c r="G7" s="34" t="str">
        <x:v>Dùng tỷ lệ thay vì số tuyệt đối để giảm xu hướng quy mô.</x:v>
      </x:c>
    </x:row>
    <x:row r="8" ht="48" customHeight="1">
      <x:c r="A8" s="32" t="str">
        <x:v>Expenditure_GDP</x:v>
      </x:c>
      <x:c r="B8" s="30" t="str">
        <x:v>Chi ngân sách/chính phủ so với GDP</x:v>
      </x:c>
      <x:c r="C8" s="30" t="str">
        <x:v>% GDP</x:v>
      </x:c>
      <x:c r="D8" s="34" t="str">
        <x:v>IMF WEO/EconStats và World Bank MPO</x:v>
      </x:c>
      <x:c r="E8" s="34" t="str">
        <x:v>Biến độc lập chính</x:v>
      </x:c>
      <x:c r="F8" s="34" t="str">
        <x:v>Tỷ lệ này tăng 1 điểm % thì GDP_Growth thay đổi theo hệ số β2.</x:v>
      </x:c>
      <x:c r="G8" s="34" t="str">
        <x:v>Phản ánh quy mô chi tiêu công tương đối so với nền kinh tế.</x:v>
      </x:c>
    </x:row>
    <x:row r="9" ht="48" customHeight="1">
      <x:c r="A9" s="32" t="str">
        <x:v>Inflation</x:v>
      </x:c>
      <x:c r="B9" s="30" t="str">
        <x:v>Lạm phát CPI</x:v>
      </x:c>
      <x:c r="C9" s="30" t="str">
        <x:v>%</x:v>
      </x:c>
      <x:c r="D9" s="34" t="str">
        <x:v>FRED/World Bank/IMF IFS</x:v>
      </x:c>
      <x:c r="E9" s="34" t="str">
        <x:v>Biến kiểm soát</x:v>
      </x:c>
      <x:c r="F9" s="34" t="str">
        <x:v>Lạm phát tăng 1 điểm % thì GDP_Growth thay đổi theo hệ số β3.</x:v>
      </x:c>
      <x:c r="G9" s="34" t="str">
        <x:v>Năm 2008 và 2011 có lạm phát cao, nên cần lưu ý khi nhận xét.</x:v>
      </x:c>
    </x:row>
    <x:row r="10" ht="48" customHeight="1">
      <x:c r="A10" s="32" t="str">
        <x:v>Balance_GDP</x:v>
      </x:c>
      <x:c r="B10" s="30" t="str">
        <x:v>Cân đối ngân sách/GDP</x:v>
      </x:c>
      <x:c r="C10" s="30" t="str">
        <x:v>% GDP</x:v>
      </x:c>
      <x:c r="D10" s="34" t="str">
        <x:v>Revenue_GDP - Expenditure_GDP</x:v>
      </x:c>
      <x:c r="E10" s="34" t="str">
        <x:v>Biến kiểm tra thêm</x:v>
      </x:c>
      <x:c r="F10" s="34" t="str">
        <x:v>Số âm thể hiện bội chi; số dương thể hiện thặng dư.</x:v>
      </x:c>
      <x:c r="G10" s="34" t="str">
        <x:v>Dùng trong mô hình phụ để kiểm tra thêm.</x:v>
      </x:c>
    </x:row>
    <x:row r="11" ht="48" customHeight="1">
      <x:c r="A11" s="32" t="str">
        <x:v>GDP_Current_USD_bn</x:v>
      </x:c>
      <x:c r="B11" s="30" t="str">
        <x:v>GDP hiện hành</x:v>
      </x:c>
      <x:c r="C11" s="30" t="str">
        <x:v>Tỷ USD</x:v>
      </x:c>
      <x:c r="D11" s="34" t="str">
        <x:v>FRED/World Bank</x:v>
      </x:c>
      <x:c r="E11" s="34" t="str">
        <x:v>Biến quy mô</x:v>
      </x:c>
      <x:c r="F11" s="34" t="str">
        <x:v>Dùng để ước tính thu/chi theo tỷ USD.</x:v>
      </x:c>
      <x:c r="G11" s="34" t="str">
        <x:v>Không dùng trực tiếp trong mô hình chính.</x:v>
      </x:c>
    </x:row>
    <x:row r="12" ht="48" customHeight="1">
      <x:c r="A12" s="32" t="str">
        <x:v>Budget_Revenue_USD_bn</x:v>
      </x:c>
      <x:c r="B12" s="30" t="str">
        <x:v>Ước tính thu ngân sách theo USD</x:v>
      </x:c>
      <x:c r="C12" s="30" t="str">
        <x:v>Tỷ USD</x:v>
      </x:c>
      <x:c r="D12" s="34" t="str">
        <x:v>GDP_Current_USD_bn × Revenue_GDP/100</x:v>
      </x:c>
      <x:c r="E12" s="34" t="str">
        <x:v>Biến minh họa</x:v>
      </x:c>
      <x:c r="F12" s="34" t="str">
        <x:v>Dùng để vẽ/đọc quy mô thu theo USD.</x:v>
      </x:c>
      <x:c r="G12" s="34" t="str">
        <x:v>Là biến ước tính, không phải số quyết toán ngân sách bằng VND.</x:v>
      </x:c>
    </x:row>
    <x:row r="13" ht="48" customHeight="1">
      <x:c r="A13" s="32" t="str">
        <x:v>Budget_Expenditure_USD_bn</x:v>
      </x:c>
      <x:c r="B13" s="30" t="str">
        <x:v>Ước tính chi ngân sách theo USD</x:v>
      </x:c>
      <x:c r="C13" s="30" t="str">
        <x:v>Tỷ USD</x:v>
      </x:c>
      <x:c r="D13" s="34" t="str">
        <x:v>GDP_Current_USD_bn × Expenditure_GDP/100</x:v>
      </x:c>
      <x:c r="E13" s="34" t="str">
        <x:v>Biến minh họa</x:v>
      </x:c>
      <x:c r="F13" s="34" t="str">
        <x:v>Dùng để vẽ/đọc quy mô chi theo USD.</x:v>
      </x:c>
      <x:c r="G13" s="34" t="str">
        <x:v>Là biến ước tính, không phải số quyết toán ngân sách bằng VND.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e40eba1282a42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</x:cols>
  <x:sheetData>
    <x:row r="1" ht="34" customHeight="1">
      <x:c r="A1" s="144" t="str">
        <x:v>Thống kê mô tả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Các chỉ tiêu được tính bằng công thức Excel từ sheet Data_2005_2020.</x:v>
      </x:c>
    </x:row>
    <x:row r="4">
      <x:c r="A4" s="24" t="str">
        <x:v>Biến</x:v>
      </x:c>
      <x:c r="B4" s="24" t="str">
        <x:v>Nguồn ô dữ liệu</x:v>
      </x:c>
      <x:c r="C4" s="24" t="str">
        <x:v>Count</x:v>
      </x:c>
      <x:c r="D4" s="24" t="str">
        <x:v>Mean</x:v>
      </x:c>
      <x:c r="E4" s="24" t="str">
        <x:v>Std.Dev</x:v>
      </x:c>
      <x:c r="F4" s="24" t="str">
        <x:v>Min</x:v>
      </x:c>
      <x:c r="G4" s="24" t="str">
        <x:v>Max</x:v>
      </x:c>
      <x:c r="H4" s="24" t="str">
        <x:v>Ghi chú</x:v>
      </x:c>
    </x:row>
    <x:row r="5">
      <x:c r="A5" s="32" t="str">
        <x:v>GDP_Growth</x:v>
      </x:c>
      <x:c r="B5" s="30" t="str">
        <x:v>B9:B24</x:v>
      </x:c>
      <x:c r="C5" s="58" t="n">
        <x:f>COUNT('Data_2005_2020'!B9:B24)</x:f>
        <x:v>16</x:v>
      </x:c>
      <x:c r="D5" s="58" t="n">
        <x:f>AVERAGE('Data_2005_2020'!B9:B24)</x:f>
        <x:v>6.333634609256249</x:v>
      </x:c>
      <x:c r="E5" s="58" t="n">
        <x:f>STDEV.S('Data_2005_2020'!B9:B24)</x:f>
        <x:v>1.1675942482830264</x:v>
      </x:c>
      <x:c r="F5" s="58" t="n">
        <x:f>MIN('Data_2005_2020'!B9:B24)</x:f>
        <x:v>2.8654132091</x:v>
      </x:c>
      <x:c r="G5" s="58" t="n">
        <x:f>MAX('Data_2005_2020'!B9:B24)</x:f>
        <x:v>7.5472557754</x:v>
      </x:c>
      <x:c r="H5" s="34" t="str">
        <x:v>Tăng trưởng GDP thực (%)</x:v>
      </x:c>
    </x:row>
    <x:row r="6">
      <x:c r="A6" s="32" t="str">
        <x:v>Revenue_GDP</x:v>
      </x:c>
      <x:c r="B6" s="30" t="str">
        <x:v>C9:C24</x:v>
      </x:c>
      <x:c r="C6" s="58" t="n">
        <x:f>COUNT('Data_2005_2020'!C9:C24)</x:f>
        <x:v>16</x:v>
      </x:c>
      <x:c r="D6" s="58" t="n">
        <x:f>AVERAGE('Data_2005_2020'!C9:C24)</x:f>
        <x:v>25.346875</x:v>
      </x:c>
      <x:c r="E6" s="58" t="n">
        <x:f>STDEV.S('Data_2005_2020'!C9:C24)</x:f>
        <x:v>2.1849720631318528</x:v>
      </x:c>
      <x:c r="F6" s="58" t="n">
        <x:f>MIN('Data_2005_2020'!C9:C24)</x:f>
        <x:v>22.2</x:v>
      </x:c>
      <x:c r="G6" s="58" t="n">
        <x:f>MAX('Data_2005_2020'!C9:C24)</x:f>
        <x:v>28.91</x:v>
      </x:c>
      <x:c r="H6" s="34" t="str">
        <x:v>Thu ngân sách/chính phủ so với GDP (%)</x:v>
      </x:c>
    </x:row>
    <x:row r="7">
      <x:c r="A7" s="32" t="str">
        <x:v>Expenditure_GDP</x:v>
      </x:c>
      <x:c r="B7" s="30" t="str">
        <x:v>D9:D24</x:v>
      </x:c>
      <x:c r="C7" s="58" t="n">
        <x:f>COUNT('Data_2005_2020'!D9:D24)</x:f>
        <x:v>16</x:v>
      </x:c>
      <x:c r="D7" s="58" t="n">
        <x:f>AVERAGE('Data_2005_2020'!D9:D24)</x:f>
        <x:v>28.880000000000003</x:v>
      </x:c>
      <x:c r="E7" s="58" t="n">
        <x:f>STDEV.S('Data_2005_2020'!D9:D24)</x:f>
        <x:v>1.4991375298261775</x:v>
      </x:c>
      <x:c r="F7" s="58" t="n">
        <x:f>MIN('Data_2005_2020'!D9:D24)</x:f>
        <x:v>25.9</x:v>
      </x:c>
      <x:c r="G7" s="58" t="n">
        <x:f>MAX('Data_2005_2020'!D9:D24)</x:f>
        <x:v>31.6</x:v>
      </x:c>
      <x:c r="H7" s="34" t="str">
        <x:v>Chi ngân sách/chính phủ so với GDP (%)</x:v>
      </x:c>
    </x:row>
    <x:row r="8">
      <x:c r="A8" s="32" t="str">
        <x:v>Inflation</x:v>
      </x:c>
      <x:c r="B8" s="30" t="str">
        <x:v>E9:E24</x:v>
      </x:c>
      <x:c r="C8" s="58" t="n">
        <x:f>COUNT('Data_2005_2020'!E9:E24)</x:f>
        <x:v>16</x:v>
      </x:c>
      <x:c r="D8" s="58" t="n">
        <x:f>AVERAGE('Data_2005_2020'!E9:E24)</x:f>
        <x:v>7.369543311043463</x:v>
      </x:c>
      <x:c r="E8" s="58" t="n">
        <x:f>STDEV.S('Data_2005_2020'!E9:E24)</x:f>
        <x:v>5.949206901853209</x:v>
      </x:c>
      <x:c r="F8" s="58" t="n">
        <x:f>MIN('Data_2005_2020'!E9:E24)</x:f>
        <x:v>0.631200905175754</x:v>
      </x:c>
      <x:c r="G8" s="58" t="n">
        <x:f>MAX('Data_2005_2020'!E9:E24)</x:f>
        <x:v>23.1154483474477</x:v>
      </x:c>
      <x:c r="H8" s="34" t="str">
        <x:v>Lạm phát CPI (%)</x:v>
      </x:c>
    </x:row>
    <x:row r="9">
      <x:c r="A9" s="32" t="str">
        <x:v>Balance_GDP</x:v>
      </x:c>
      <x:c r="B9" s="30" t="str">
        <x:v>F9:F24</x:v>
      </x:c>
      <x:c r="C9" s="58" t="n">
        <x:f>COUNT('Data_2005_2020'!F9:F24)</x:f>
        <x:v>16</x:v>
      </x:c>
      <x:c r="D9" s="58" t="n">
        <x:f>AVERAGE('Data_2005_2020'!F9:F24)</x:f>
        <x:v>-3.533125</x:v>
      </x:c>
      <x:c r="E9" s="58" t="n">
        <x:f>STDEV.S('Data_2005_2020'!F9:F24)</x:f>
        <x:v>2.4636361169350205</x:v>
      </x:c>
      <x:c r="F9" s="58" t="n">
        <x:f>MIN('Data_2005_2020'!F9:F24)</x:f>
        <x:v>-7.399999999999999</x:v>
      </x:c>
      <x:c r="G9" s="58" t="n">
        <x:f>MAX('Data_2005_2020'!F9:F24)</x:f>
        <x:v>0.3000000000000007</x:v>
      </x:c>
      <x:c r="H9" s="34" t="str">
        <x:v>Cân đối ngân sách/GDP (%)</x:v>
      </x:c>
    </x:row>
    <x:row r="10">
      <x:c r="A10" s="32" t="str">
        <x:v>Budget_Revenue_USD_bn</x:v>
      </x:c>
      <x:c r="B10" s="30" t="str">
        <x:v>H9:H24</x:v>
      </x:c>
      <x:c r="C10" s="58" t="n">
        <x:f>COUNT('Data_2005_2020'!H9:H24)</x:f>
        <x:v>16</x:v>
      </x:c>
      <x:c r="D10" s="58" t="n">
        <x:f>AVERAGE('Data_2005_2020'!H9:H24)</x:f>
        <x:v>48.279865562774624</x:v>
      </x:c>
      <x:c r="E10" s="58" t="n">
        <x:f>STDEV.S('Data_2005_2020'!H9:H24)</x:f>
        <x:v>22.231116470786304</x:v>
      </x:c>
      <x:c r="F10" s="58" t="n">
        <x:f>MIN('Data_2005_2020'!H9:H24)</x:f>
        <x:v>15.676245560790182</x:v>
      </x:c>
      <x:c r="G10" s="58" t="n">
        <x:f>MAX('Data_2005_2020'!H9:H24)</x:f>
        <x:v>82.92258708317343</x:v>
      </x:c>
      <x:c r="H10" s="34" t="str">
        <x:v>Ước tính thu ngân sách (tỷ USD)</x:v>
      </x:c>
    </x:row>
    <x:row r="11">
      <x:c r="A11" s="32" t="str">
        <x:v>Budget_Expenditure_USD_bn</x:v>
      </x:c>
      <x:c r="B11" s="30" t="str">
        <x:v>I9:I24</x:v>
      </x:c>
      <x:c r="C11" s="58" t="n">
        <x:f>COUNT('Data_2005_2020'!I9:I24)</x:f>
        <x:v>16</x:v>
      </x:c>
      <x:c r="D11" s="58" t="n">
        <x:f>AVERAGE('Data_2005_2020'!I9:I24)</x:f>
        <x:v>56.030583446330745</x:v>
      </x:c>
      <x:c r="E11" s="58" t="n">
        <x:f>STDEV.S('Data_2005_2020'!I9:I24)</x:f>
        <x:v>26.548537106538678</x:v>
      </x:c>
      <x:c r="F11" s="58" t="n">
        <x:f>MIN('Data_2005_2020'!I9:I24)</x:f>
        <x:v>16.431241210960593</x:v>
      </x:c>
      <x:c r="G11" s="58" t="n">
        <x:f>MAX('Data_2005_2020'!I9:I24)</x:f>
        <x:v>98.09225400619627</x:v>
      </x:c>
      <x:c r="H11" s="34" t="str">
        <x:v>Ước tính chi ngân sách (tỷ USD)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5ea929b82243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20" hidden="0" customWidth="1"/>
    <x:col min="5" max="5" width="14" hidden="0" customWidth="1"/>
    <x:col min="6" max="6" width="15" hidden="0" customWidth="1"/>
  </x:cols>
  <x:sheetData>
    <x:row r="1" ht="34" customHeight="1">
      <x:c r="A1" s="144" t="str">
        <x:v>Ma trận tương quan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Dùng để kiểm tra quan hệ sơ bộ giữa các biến trước khi đọc kết quả hồi quy.</x:v>
      </x:c>
    </x:row>
    <x:row r="4">
      <x:c r="A4" s="24" t="str"/>
      <x:c r="B4" s="24" t="str">
        <x:v>GDP_Growth</x:v>
      </x:c>
      <x:c r="C4" s="24" t="str">
        <x:v>Revenue_GDP</x:v>
      </x:c>
      <x:c r="D4" s="24" t="str">
        <x:v>Expenditure_GDP</x:v>
      </x:c>
      <x:c r="E4" s="24" t="str">
        <x:v>Inflation</x:v>
      </x:c>
      <x:c r="F4" s="24" t="str">
        <x:v>Balance_GDP</x:v>
      </x:c>
    </x:row>
    <x:row r="5">
      <x:c r="A5" s="32" t="str">
        <x:v>GDP_Growth</x:v>
      </x:c>
      <x:c r="B5" s="126" t="n">
        <x:f>CORREL('Data_2005_2020'!B9:B24,'Data_2005_2020'!B9:B24)</x:f>
        <x:v>1.0000000000000002</x:v>
      </x:c>
      <x:c r="C5" s="126" t="n">
        <x:f>CORREL('Data_2005_2020'!B9:B24,'Data_2005_2020'!C9:C24)</x:f>
        <x:v>0.2572713151973828</x:v>
      </x:c>
      <x:c r="D5" s="126" t="n">
        <x:f>CORREL('Data_2005_2020'!B9:B24,'Data_2005_2020'!D9:D24)</x:f>
        <x:v>-0.23597463957190873</x:v>
      </x:c>
      <x:c r="E5" s="126" t="n">
        <x:f>CORREL('Data_2005_2020'!B9:B24,'Data_2005_2020'!E9:E24)</x:f>
        <x:v>-0.10702514765065495</x:v>
      </x:c>
      <x:c r="F5" s="126" t="n">
        <x:f>CORREL('Data_2005_2020'!B9:B24,'Data_2005_2020'!F9:F24)</x:f>
        <x:v>0.37176313024683644</x:v>
      </x:c>
    </x:row>
    <x:row r="6">
      <x:c r="A6" s="32" t="str">
        <x:v>Revenue_GDP</x:v>
      </x:c>
      <x:c r="B6" s="126" t="n">
        <x:f>CORREL('Data_2005_2020'!C9:C24,'Data_2005_2020'!B9:B24)</x:f>
        <x:v>0.2572713151973828</x:v>
      </x:c>
      <x:c r="C6" s="126" t="n">
        <x:f>CORREL('Data_2005_2020'!C9:C24,'Data_2005_2020'!C9:C24)</x:f>
        <x:v>1</x:v>
      </x:c>
      <x:c r="D6" s="126" t="n">
        <x:f>CORREL('Data_2005_2020'!C9:C24,'Data_2005_2020'!D9:D24)</x:f>
        <x:v>0.14532009402802196</x:v>
      </x:c>
      <x:c r="E6" s="126" t="n">
        <x:f>CORREL('Data_2005_2020'!C9:C24,'Data_2005_2020'!E9:E24)</x:f>
        <x:v>0.5614643341645636</x:v>
      </x:c>
      <x:c r="F6" s="126" t="n">
        <x:f>CORREL('Data_2005_2020'!C9:C24,'Data_2005_2020'!F9:F24)</x:f>
        <x:v>0.7984609589113522</x:v>
      </x:c>
    </x:row>
    <x:row r="7">
      <x:c r="A7" s="32" t="str">
        <x:v>Expenditure_GDP</x:v>
      </x:c>
      <x:c r="B7" s="126" t="n">
        <x:f>CORREL('Data_2005_2020'!D9:D24,'Data_2005_2020'!B9:B24)</x:f>
        <x:v>-0.2359746395719087</x:v>
      </x:c>
      <x:c r="C7" s="126" t="n">
        <x:f>CORREL('Data_2005_2020'!D9:D24,'Data_2005_2020'!C9:C24)</x:f>
        <x:v>0.14532009402802196</x:v>
      </x:c>
      <x:c r="D7" s="126" t="n">
        <x:f>CORREL('Data_2005_2020'!D9:D24,'Data_2005_2020'!D9:D24)</x:f>
        <x:v>0.9999999999999999</x:v>
      </x:c>
      <x:c r="E7" s="126" t="n">
        <x:f>CORREL('Data_2005_2020'!D9:D24,'Data_2005_2020'!E9:E24)</x:f>
        <x:v>0.06524832336400999</x:v>
      </x:c>
      <x:c r="F7" s="126" t="n">
        <x:f>CORREL('Data_2005_2020'!D9:D24,'Data_2005_2020'!F9:F24)</x:f>
        <x:v>-0.4796232593120492</x:v>
      </x:c>
    </x:row>
    <x:row r="8">
      <x:c r="A8" s="32" t="str">
        <x:v>Inflation</x:v>
      </x:c>
      <x:c r="B8" s="126" t="n">
        <x:f>CORREL('Data_2005_2020'!E9:E24,'Data_2005_2020'!B9:B24)</x:f>
        <x:v>-0.10702514765065495</x:v>
      </x:c>
      <x:c r="C8" s="126" t="n">
        <x:f>CORREL('Data_2005_2020'!E9:E24,'Data_2005_2020'!C9:C24)</x:f>
        <x:v>0.5614643341645635</x:v>
      </x:c>
      <x:c r="D8" s="126" t="n">
        <x:f>CORREL('Data_2005_2020'!E9:E24,'Data_2005_2020'!D9:D24)</x:f>
        <x:v>0.06524832336400999</x:v>
      </x:c>
      <x:c r="E8" s="126" t="n">
        <x:f>CORREL('Data_2005_2020'!E9:E24,'Data_2005_2020'!E9:E24)</x:f>
        <x:v>1</x:v>
      </x:c>
      <x:c r="F8" s="126" t="n">
        <x:f>CORREL('Data_2005_2020'!E9:E24,'Data_2005_2020'!F9:F24)</x:f>
        <x:v>0.4582526074044619</x:v>
      </x:c>
    </x:row>
    <x:row r="9">
      <x:c r="A9" s="32" t="str">
        <x:v>Balance_GDP</x:v>
      </x:c>
      <x:c r="B9" s="126" t="n">
        <x:f>CORREL('Data_2005_2020'!F9:F24,'Data_2005_2020'!B9:B24)</x:f>
        <x:v>0.3717631302468365</x:v>
      </x:c>
      <x:c r="C9" s="126" t="n">
        <x:f>CORREL('Data_2005_2020'!F9:F24,'Data_2005_2020'!C9:C24)</x:f>
        <x:v>0.7984609589113522</x:v>
      </x:c>
      <x:c r="D9" s="126" t="n">
        <x:f>CORREL('Data_2005_2020'!F9:F24,'Data_2005_2020'!D9:D24)</x:f>
        <x:v>-0.47962325931204924</x:v>
      </x:c>
      <x:c r="E9" s="126" t="n">
        <x:f>CORREL('Data_2005_2020'!F9:F24,'Data_2005_2020'!E9:E24)</x:f>
        <x:v>0.4582526074044619</x:v>
      </x:c>
      <x:c r="F9" s="126" t="n">
        <x:f>CORREL('Data_2005_2020'!F9:F24,'Data_2005_2020'!F9:F24)</x:f>
        <x:v>1</x:v>
      </x:c>
    </x:row>
    <x:row r="12" ht="42" customHeight="1">
      <x:c r="A12" s="130" t="str">
        <x:v>Cách đọc nhanh: hệ số gần 1 là tương quan cùng chiều mạnh, gần -1 là ngược chiều mạnh, gần 0 là tương quan yếu. Nếu hai biến độc lập có tương quan cao, cần thận trọng khi diễn giải hồi quy.</x:v>
      </x:c>
    </x:row>
  </x:sheetData>
  <x:mergeCells>
    <x:mergeCell ref="A1:G1"/>
    <x:mergeCell ref="A2:G2"/>
    <x:mergeCell ref="A12:F12"/>
  </x:mergeCells>
  <x:conditionalFormatting sqref="B5:F9">
    <x:cfRule type="colorScale" priority="1">
      <x:colorScale>
        <x:cfvo type="min"/>
        <x:cfvo type="percentile" val="50"/>
        <x:cfvo type="max"/>
        <x:color rgb="FEE2E2"/>
        <x:color rgb="FFFFFF"/>
        <x:color rgb="DCFCE7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58" hidden="0" customWidth="1"/>
    <x:col min="8" max="8" width="4" hidden="0" customWidth="1"/>
    <x:col min="9" max="9" width="22" hidden="0" customWidth="1"/>
    <x:col min="10" max="10" width="16" hidden="0" customWidth="1"/>
    <x:col min="11" max="11" width="2" hidden="0" customWidth="1"/>
  </x:cols>
  <x:sheetData>
    <x:row r="1" ht="32" customHeight="1">
      <x:c r="A1" s="144" t="str">
        <x:v>Hồi quy OLS</x:v>
      </x:c>
      <x:c r="B1" s="226"/>
      <x:c r="C1" s="226"/>
      <x:c r="D1" s="226"/>
      <x:c r="E1" s="226"/>
      <x:c r="F1" s="226"/>
      <x:c r="G1" s="226"/>
      <x:c r="H1" s="226"/>
      <x:c r="I1" s="226"/>
      <x:c r="J1" s="226"/>
      <x:c r="K1" s="226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2" customHeight="1">
      <x:c r="A2" s="12" t="str">
        <x:v>Mô hình chính: GDP_Growth = β0 + β1·Revenue_GDP + β2·Expenditure_GDP + β3·Inflation + u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</x:row>
    <x:row r="4" ht="22" customHeight="1">
      <x:c r="A4" s="134" t="str">
        <x:v>Mô hình chính</x:v>
      </x:c>
    </x:row>
    <x:row r="5" ht="25" customHeight="1">
      <x:c r="A5" s="24" t="str">
        <x:v>Biến</x:v>
      </x:c>
      <x:c r="B5" s="24" t="str">
        <x:v>Hệ số</x:v>
      </x:c>
      <x:c r="C5" s="24" t="str">
        <x:v>Sai số chuẩn</x:v>
      </x:c>
      <x:c r="D5" s="24" t="str">
        <x:v>t-stat</x:v>
      </x:c>
      <x:c r="E5" s="24" t="str">
        <x:v>P-value</x:v>
      </x:c>
      <x:c r="F5" s="24" t="str">
        <x:v>Mức ý nghĩa</x:v>
      </x:c>
      <x:c r="G5" s="24" t="str">
        <x:v>Diễn giải ngắn</x:v>
      </x:c>
      <x:c r="I5" s="24" t="str">
        <x:v>Chỉ tiêu</x:v>
      </x:c>
      <x:c r="J5" s="24" t="str">
        <x:v>Giá trị</x:v>
      </x:c>
    </x:row>
    <x:row r="6" ht="25" customHeight="1">
      <x:c r="A6" s="32" t="str">
        <x:v>Intercept</x:v>
      </x:c>
      <x:c r="B6" s="136" t="n">
        <x:v>6.405189875374305</x:v>
      </x:c>
      <x:c r="C6" s="136" t="n">
        <x:v>6.494566416345851</x:v>
      </x:c>
      <x:c r="D6" s="136" t="n">
        <x:v>0.9862382589934566</x:v>
      </x:c>
      <x:c r="E6" s="136" t="n">
        <x:v>0.34348485630746506</x:v>
      </x:c>
      <x:c r="F6" s="56" t="str"/>
      <x:c r="G6" s="34" t="str">
        <x:v>Hằng số của mô hình.</x:v>
      </x:c>
      <x:c r="I6" s="30" t="str">
        <x:v>Observations</x:v>
      </x:c>
      <x:c r="J6" s="136" t="n">
        <x:v>16</x:v>
      </x:c>
    </x:row>
    <x:row r="7" ht="25" customHeight="1">
      <x:c r="A7" s="32" t="str">
        <x:v>Revenue_GDP</x:v>
      </x:c>
      <x:c r="B7" s="136" t="n">
        <x:v>0.2718802010027064</x:v>
      </x:c>
      <x:c r="C7" s="136" t="n">
        <x:v>0.16412461378991153</x:v>
      </x:c>
      <x:c r="D7" s="136" t="n">
        <x:v>1.6565473924022627</x:v>
      </x:c>
      <x:c r="E7" s="136" t="n">
        <x:v>0.1235053990227124</x:v>
      </x:c>
      <x:c r="F7" s="56" t="str"/>
      <x:c r="G7" s="34" t="str">
        <x:v>Revenue_GDP tăng 1 điểm % thì GDP_Growth thay đổi theo hệ số này, giữ các yếu tố khác không đổi.</x:v>
      </x:c>
      <x:c r="I7" s="30" t="str">
        <x:v>Số biến độc lập</x:v>
      </x:c>
      <x:c r="J7" s="136" t="n">
        <x:v>3</x:v>
      </x:c>
    </x:row>
    <x:row r="8" ht="25" customHeight="1">
      <x:c r="A8" s="32" t="str">
        <x:v>Expenditure_GDP</x:v>
      </x:c>
      <x:c r="B8" s="136" t="n">
        <x:v>-0.2223631586398594</x:v>
      </x:c>
      <x:c r="C8" s="136" t="n">
        <x:v>0.19836866357414162</x:v>
      </x:c>
      <x:c r="D8" s="136" t="n">
        <x:v>-1.1209591002600552</x:v>
      </x:c>
      <x:c r="E8" s="136" t="n">
        <x:v>0.28423727872593707</x:v>
      </x:c>
      <x:c r="F8" s="56" t="str"/>
      <x:c r="G8" s="34" t="str">
        <x:v>Expenditure_GDP tăng 1 điểm % thì GDP_Growth thay đổi theo hệ số này, giữ các yếu tố khác không đổi.</x:v>
      </x:c>
      <x:c r="I8" s="30" t="str">
        <x:v>Residual df</x:v>
      </x:c>
      <x:c r="J8" s="136" t="n">
        <x:v>12</x:v>
      </x:c>
    </x:row>
    <x:row r="9" ht="25" customHeight="1">
      <x:c r="A9" s="32" t="str">
        <x:v>Inflation</x:v>
      </x:c>
      <x:c r="B9" s="136" t="n">
        <x:v>-0.07341305852407089</x:v>
      </x:c>
      <x:c r="C9" s="136" t="n">
        <x:v>0.05976572103599157</x:v>
      </x:c>
      <x:c r="D9" s="136" t="n">
        <x:v>-1.2283472407178144</x:v>
      </x:c>
      <x:c r="E9" s="136" t="n">
        <x:v>0.24286369490232684</x:v>
      </x:c>
      <x:c r="F9" s="56" t="str"/>
      <x:c r="G9" s="34" t="str">
        <x:v>Inflation tăng 1 điểm % thì GDP_Growth thay đổi theo hệ số này, giữ các yếu tố khác không đổi.</x:v>
      </x:c>
      <x:c r="I9" s="30" t="str">
        <x:v>R-squared</x:v>
      </x:c>
      <x:c r="J9" s="136" t="n">
        <x:v>0.23830042973354393</x:v>
      </x:c>
    </x:row>
    <x:row r="10" ht="25" customHeight="1">
      <x:c r="I10" s="30" t="str">
        <x:v>Adjusted R-squared</x:v>
      </x:c>
      <x:c r="J10" s="136" t="n">
        <x:v>0.04787553716692994</x:v>
      </x:c>
    </x:row>
    <x:row r="11" ht="25" customHeight="1">
      <x:c r="I11" s="30" t="str">
        <x:v>F-statistic</x:v>
      </x:c>
      <x:c r="J11" s="136" t="n">
        <x:v>1.2514142795180108</x:v>
      </x:c>
    </x:row>
    <x:row r="12" ht="25" customHeight="1">
      <x:c r="I12" s="30" t="str">
        <x:v>Significance F</x:v>
      </x:c>
      <x:c r="J12" s="136" t="n">
        <x:v>0.33464697946015254</x:v>
      </x:c>
    </x:row>
    <x:row r="13" ht="25" customHeight="1"/>
    <x:row r="14" ht="25" customHeight="1">
      <x:c r="A14" s="134" t="str">
        <x:v>Mô hình kiểm tra thêm</x:v>
      </x:c>
    </x:row>
    <x:row r="15" ht="25" customHeight="1">
      <x:c r="A15" s="24" t="str">
        <x:v>Biến</x:v>
      </x:c>
      <x:c r="B15" s="24" t="str">
        <x:v>Hệ số</x:v>
      </x:c>
      <x:c r="C15" s="24" t="str">
        <x:v>Sai số chuẩn</x:v>
      </x:c>
      <x:c r="D15" s="24" t="str">
        <x:v>t-stat</x:v>
      </x:c>
      <x:c r="E15" s="24" t="str">
        <x:v>P-value</x:v>
      </x:c>
      <x:c r="F15" s="24" t="str">
        <x:v>Mức ý nghĩa</x:v>
      </x:c>
      <x:c r="G15" s="24" t="str">
        <x:v>Diễn giải ngắn</x:v>
      </x:c>
      <x:c r="I15" s="24" t="str">
        <x:v>Chỉ tiêu</x:v>
      </x:c>
      <x:c r="J15" s="24" t="str">
        <x:v>Giá trị</x:v>
      </x:c>
    </x:row>
    <x:row r="16" ht="25" customHeight="1">
      <x:c r="A16" s="32" t="str">
        <x:v>Intercept</x:v>
      </x:c>
      <x:c r="B16" s="136" t="n">
        <x:v>7.733402644670624</x:v>
      </x:c>
      <x:c r="C16" s="136" t="n">
        <x:v>0.7776535440075042</x:v>
      </x:c>
      <x:c r="D16" s="136" t="n">
        <x:v>9.944534689339754</x:v>
      </x:c>
      <x:c r="E16" s="136" t="n">
        <x:v>1.9191104594362685e-7</x:v>
      </x:c>
      <x:c r="F16" s="56" t="str">
        <x:v>***</x:v>
      </x:c>
      <x:c r="G16" s="34" t="str">
        <x:v>Hằng số của mô hình.</x:v>
      </x:c>
      <x:c r="I16" s="30" t="str">
        <x:v>Observations</x:v>
      </x:c>
      <x:c r="J16" s="136" t="n">
        <x:v>16</x:v>
      </x:c>
    </x:row>
    <x:row r="17" ht="25" customHeight="1">
      <x:c r="A17" s="32" t="str">
        <x:v>Balance_GDP</x:v>
      </x:c>
      <x:c r="B17" s="136" t="n">
        <x:v>0.2524465581952019</x:v>
      </x:c>
      <x:c r="C17" s="136" t="n">
        <x:v>0.12929691288575493</x:v>
      </x:c>
      <x:c r="D17" s="136" t="n">
        <x:v>1.952456192192774</x:v>
      </x:c>
      <x:c r="E17" s="136" t="n">
        <x:v>0.07275860456385552</x:v>
      </x:c>
      <x:c r="F17" s="56" t="str">
        <x:v>*</x:v>
      </x:c>
      <x:c r="G17" s="34" t="str">
        <x:v>Balance_GDP tăng 1 điểm % thì GDP_Growth thay đổi theo hệ số này.</x:v>
      </x:c>
      <x:c r="I17" s="30" t="str">
        <x:v>Số biến độc lập</x:v>
      </x:c>
      <x:c r="J17" s="136" t="n">
        <x:v>2</x:v>
      </x:c>
    </x:row>
    <x:row r="18" ht="25" customHeight="1">
      <x:c r="A18" s="32" t="str">
        <x:v>Inflation</x:v>
      </x:c>
      <x:c r="B18" s="136" t="n">
        <x:v>-0.06891102583384551</x:v>
      </x:c>
      <x:c r="C18" s="136" t="n">
        <x:v>0.05354336294713835</x:v>
      </x:c>
      <x:c r="D18" s="136" t="n">
        <x:v>-1.2870134044788923</x:v>
      </x:c>
      <x:c r="E18" s="136" t="n">
        <x:v>0.2205341613826286</x:v>
      </x:c>
      <x:c r="F18" s="56" t="str"/>
      <x:c r="G18" s="34" t="str">
        <x:v>Inflation tăng 1 điểm % thì GDP_Growth thay đổi theo hệ số này.</x:v>
      </x:c>
      <x:c r="I18" s="30" t="str">
        <x:v>Residual df</x:v>
      </x:c>
      <x:c r="J18" s="136" t="n">
        <x:v>13</x:v>
      </x:c>
    </x:row>
    <x:row r="19" ht="25" customHeight="1">
      <x:c r="I19" s="30" t="str">
        <x:v>R-squared</x:v>
      </x:c>
      <x:c r="J19" s="136" t="n">
        <x:v>0.23560385927358707</x:v>
      </x:c>
    </x:row>
    <x:row r="20" ht="25" customHeight="1">
      <x:c r="I20" s="30" t="str">
        <x:v>Adjusted R-squared</x:v>
      </x:c>
      <x:c r="J20" s="136" t="n">
        <x:v>0.11800445300798512</x:v>
      </x:c>
    </x:row>
    <x:row r="21" ht="25" customHeight="1">
      <x:c r="A21" s="40" t="str">
        <x:v>Cách đọc: P-value &lt; 0,10 có thể xem là có ý nghĩa thống kê ở mức 10%; &lt; 0,05 là mức 5%. Vì mẫu chỉ có 16 năm, khi viết báo cáo cần diễn giải thận trọng và nêu hạn chế số quan sát nhỏ.</x:v>
      </x:c>
      <x:c r="I21" s="30" t="str">
        <x:v>F-statistic</x:v>
      </x:c>
      <x:c r="J21" s="136" t="n">
        <x:v>2.003444292409677</x:v>
      </x:c>
    </x:row>
    <x:row r="22" ht="25" customHeight="1">
      <x:c r="I22" s="30" t="str">
        <x:v>Significance F</x:v>
      </x:c>
      <x:c r="J22" s="136" t="n">
        <x:v>0.1744095081055992</x:v>
      </x:c>
    </x:row>
    <x:row r="23" ht="25" customHeight="1"/>
    <x:row r="24" ht="25" customHeight="1"/>
    <x:row r="25" ht="44" customHeight="1">
      <x:c r="A25" s="224" t="str">
        <x:v>Tái lập kết quả: Excel → Data → Data Analysis → Regression. Mô hình chính: Input Y = Data_2005_2020!B9:B24; Input X = Data_2005_2020!C9:E24. Mô hình kiểm tra: Input Y = Data_2005_2020!B9:B24; Input X = Data_2005_2020!E9:F24 (Inflation, Balance_GDP).</x:v>
      </x:c>
    </x:row>
  </x:sheetData>
  <x:mergeCells>
    <x:mergeCell ref="A4:G4"/>
    <x:mergeCell ref="A14:G14"/>
    <x:mergeCell ref="A21:G24"/>
    <x:mergeCell ref="A25:J2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85" hidden="0" customWidth="1"/>
    <x:col min="4" max="4" width="58" hidden="0" customWidth="1"/>
  </x:cols>
  <x:sheetData>
    <x:row r="1" ht="34" customHeight="1">
      <x:c r="A1" s="144" t="str">
        <x:v>Nguồn dữ liệu và ghi chú trích dẫn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1"/>
      <x:c r="T1" s="141"/>
      <x:c r="U1" s="141"/>
      <x:c r="V1" s="141"/>
      <x:c r="W1" s="141"/>
      <x:c r="X1" s="141"/>
      <x:c r="Y1" s="141"/>
      <x:c r="Z1" s="141"/>
    </x:row>
    <x:row r="2" ht="24" customHeight="1">
      <x:c r="A2" s="12" t="str">
        <x:v>Các URL nguồn được ghi trực tiếp trong file để tiện kiểm tra/tái lập.</x:v>
      </x:c>
    </x:row>
    <x:row r="4">
      <x:c r="A4" s="24" t="str">
        <x:v>Nguồn</x:v>
      </x:c>
      <x:c r="B4" s="24" t="str">
        <x:v>Dùng cho biến</x:v>
      </x:c>
      <x:c r="C4" s="24" t="str">
        <x:v>URL</x:v>
      </x:c>
      <x:c r="D4" s="24" t="str">
        <x:v>Ghi chú</x:v>
      </x:c>
    </x:row>
    <x:row r="5" ht="48" customHeight="1">
      <x:c r="A5" s="30" t="str">
        <x:v>FRED/IMF WEO Real GDP growth</x:v>
      </x:c>
      <x:c r="B5" s="30" t="str">
        <x:v>GDP_Growth</x:v>
      </x:c>
      <x:c r="C5" s="138" t="str">
        <x:v>https://fred.stlouisfed.org/series/VNMNGDPRPCPPPT</x:v>
      </x:c>
      <x:c r="D5" s="34" t="str">
        <x:v>Annual percent change; nguồn IMF WEO được FRED trình bày.</x:v>
      </x:c>
    </x:row>
    <x:row r="6" ht="48" customHeight="1">
      <x:c r="A6" s="30" t="str">
        <x:v>FRED/World Bank/IMF IFS Inflation</x:v>
      </x:c>
      <x:c r="B6" s="30" t="str">
        <x:v>Inflation</x:v>
      </x:c>
      <x:c r="C6" s="138" t="str">
        <x:v>https://fred.stlouisfed.org/series/FPCPITOTLZGVNM</x:v>
      </x:c>
      <x:c r="D6" s="34" t="str">
        <x:v>Inflation, consumer prices for Viet Nam.</x:v>
      </x:c>
    </x:row>
    <x:row r="7" ht="48" customHeight="1">
      <x:c r="A7" s="30" t="str">
        <x:v>FRED/World Bank GDP current USD</x:v>
      </x:c>
      <x:c r="B7" s="30" t="str">
        <x:v>GDP_Current_USD_bn</x:v>
      </x:c>
      <x:c r="C7" s="138" t="str">
        <x:v>https://fred.stlouisfed.org/series/MKTGDPVNA646NWDB</x:v>
      </x:c>
      <x:c r="D7" s="34" t="str">
        <x:v>GDP current US$ for Viet Nam, đã quy đổi sang tỷ USD trong bảng dữ liệu.</x:v>
      </x:c>
    </x:row>
    <x:row r="8" ht="48" customHeight="1">
      <x:c r="A8" s="30" t="str">
        <x:v>EconStats IMF WEO</x:v>
      </x:c>
      <x:c r="B8" s="30" t="str">
        <x:v>Revenue_GDP, Expenditure_GDP 2005–2008</x:v>
      </x:c>
      <x:c r="C8" s="138" t="str">
        <x:v>https://www.econstats.com/weo/CVNM.htm</x:v>
      </x:c>
      <x:c r="D8" s="34" t="str">
        <x:v>Dùng để bổ sung tỷ lệ thu/chi tài khóa cho giai đoạn 2005–2008.</x:v>
      </x:c>
    </x:row>
    <x:row r="9" ht="48" customHeight="1">
      <x:c r="A9" s="30" t="str">
        <x:v>World Bank Macro Poverty Outlook selected indicators</x:v>
      </x:c>
      <x:c r="B9" s="30" t="str">
        <x:v>Revenue_GDP, Expenditure_GDP 2009–2020</x:v>
      </x:c>
      <x:c r="C9" s="138" t="str">
        <x:v>https://thedocs.worldbank.org/en/doc/833741613054423131-0500052021/related/mpo-vnm.pdf</x:v>
      </x:c>
      <x:c r="D9" s="34" t="str">
        <x:v>Bảng Selected indicators cho revenue, expenditure và fiscal balance as % of GDP 2009–2020E.</x:v>
      </x:c>
    </x:row>
    <x:row r="10" ht="48" customHeight="1">
      <x:c r="A10" s="30" t="str">
        <x:v>CEIC Data / IMF Government Finance Statistics</x:v>
      </x:c>
      <x:c r="B10" s="30" t="str">
        <x:v>Đối chiếu định nghĩa chỉ tiêu</x:v>
      </x:c>
      <x:c r="C10" s="138" t="str">
        <x:v>https://www.ceicdata.com/en/vietnam/government-finance-statistics</x:v>
      </x:c>
      <x:c r="D10" s="34" t="str">
        <x:v>Nguồn đối chiếu phạm vi chỉ tiêu general government revenue/expenditure % GDP.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df55ed2f2f1447d"/>
  </x:tableParts>
</x:worksheet>
</file>