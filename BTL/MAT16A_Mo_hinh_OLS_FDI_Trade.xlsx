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Dashboard" sheetId="2" state="visible" r:id="rId4"/>
    <sheet name="Data_2005_2020" sheetId="3" state="visible" r:id="rId5"/>
    <sheet name="Mô tả biến" sheetId="4" state="visible" r:id="rId6"/>
    <sheet name="Thống kê mô tả" sheetId="5" state="visible" r:id="rId7"/>
    <sheet name="Tương quan" sheetId="6" state="visible" r:id="rId8"/>
    <sheet name="Hồi quy OLS" sheetId="7" state="visible" r:id="rId9"/>
    <sheet name="Nguồn dữ liệu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<sst xmlns="http://schemas.openxmlformats.org/spreadsheetml/2006/main" count="300" uniqueCount="211">
  <si>
    <t xml:space="preserve">Hướng dẫn sử dụng file dữ liệu (Mô hình mở rộng)</t>
  </si>
  <si>
    <t xml:space="preserve">Bài tập lớn MAT16A – Tài chính công Việt Nam 2005–2020 (Mô hình OLS có bổ sung FDI_GDP và Trade_Openness)</t>
  </si>
  <si>
    <t xml:space="preserve">Mục</t>
  </si>
  <si>
    <t xml:space="preserve">Nội dung cần đọc</t>
  </si>
  <si>
    <t xml:space="preserve">1. Dashboard</t>
  </si>
  <si>
    <t xml:space="preserve">Xem nhanh xu hướng chính, KPI trung bình và biểu đồ tổng quan để viết phần nhận xét ban đầu.</t>
  </si>
  <si>
    <t xml:space="preserve">2. Data_2005_2020</t>
  </si>
  <si>
    <t xml:space="preserve">Bảng dữ liệu chính, bổ sung 2 cột mới: FDI_GDP và Trade_Openness.</t>
  </si>
  <si>
    <t xml:space="preserve">3. Mô tả biến</t>
  </si>
  <si>
    <t xml:space="preserve">Bảng codebook giải thích từng biến, đơn vị, nguồn/công thức và cách dùng trong mô hình.</t>
  </si>
  <si>
    <t xml:space="preserve">4. Thống kê mô tả</t>
  </si>
  <si>
    <t xml:space="preserve">Dùng để viết mục Data &amp; Methodology và mô tả đặc điểm dữ liệu.</t>
  </si>
  <si>
    <t xml:space="preserve">5. Tương quan</t>
  </si>
  <si>
    <t xml:space="preserve">Dùng để nhận xét mối quan hệ sơ bộ giữa các biến và kiểm tra đa cộng tuyến sơ bộ.</t>
  </si>
  <si>
    <t xml:space="preserve">6. Hồi quy OLS</t>
  </si>
  <si>
    <t xml:space="preserve">Mô hình mở rộng: GDP_Growth = β0 + β1·Balance_GDP + β2·Inflation + β3·FDI_GDP + β4·Trade_Openness + u. Có so sánh với mô hình gốc.</t>
  </si>
  <si>
    <t xml:space="preserve">7. Nguồn dữ liệu</t>
  </si>
  <si>
    <t xml:space="preserve">Ghi rõ URL nguồn dữ liệu và lưu ý khi trích dẫn trong báo cáo.</t>
  </si>
  <si>
    <t xml:space="preserve">Lưu ý quan trọng:</t>
  </si>
  <si>
    <t xml:space="preserve">(1) Dữ liệu tài khóa 2005–2008 và 2009–2020 được ghép từ hai nguồn công khai khác nhau (IMF WEO via EconStats và World Bank MPO). (2) FDI_GDP và Trade_Openness lấy từ World Bank WDI, đã làm tròn 2 chữ số thập phân. (3) Với chỉ 16 quan sát, cần thận trọng khi diễn giải kết quả; chỉ nên giữ tối đa 4–5 biến độc lập để bảo đảm bậc tự do. (4) Năm 2020 (cú sốc COVID-19) có tăng trưởng giảm đột biến – cần lưu ý khi giải thích.</t>
  </si>
  <si>
    <t xml:space="preserve">Dashboard – Tài chính công và tăng trưởng Việt Nam (Mô hình mở rộng)</t>
  </si>
  <si>
    <t xml:space="preserve">Tổng quan nhanh bộ dữ liệu 2005–2020 cho phần nhận xét và trình bày báo cáo.</t>
  </si>
  <si>
    <t xml:space="preserve">Tăng trưởng GDP TB</t>
  </si>
  <si>
    <t xml:space="preserve">Cân đối NS TB</t>
  </si>
  <si>
    <t xml:space="preserve">FDI/GDP TB</t>
  </si>
  <si>
    <t xml:space="preserve">Độ mở thương mại TB</t>
  </si>
  <si>
    <t xml:space="preserve">%</t>
  </si>
  <si>
    <t xml:space="preserve">% GDP</t>
  </si>
  <si>
    <t xml:space="preserve">Lạm phát cao nhất</t>
  </si>
  <si>
    <t xml:space="preserve">Lạm phát TB</t>
  </si>
  <si>
    <t xml:space="preserve">Năm tăng trưởng thấp nhất</t>
  </si>
  <si>
    <t xml:space="preserve">Tăng trưởng thấp nhất</t>
  </si>
  <si>
    <t xml:space="preserve">năm</t>
  </si>
  <si>
    <t xml:space="preserve">Gợi ý nhận xét nhanh:</t>
  </si>
  <si>
    <t xml:space="preserve">1. Giai đoạn 2005–2020 có 16 quan sát theo năm. Với 4 biến độc lập, bậc tự do dư còn 11 – phù hợp cho hồi quy đơn giản nhưng cần thận trọng khi giải thích.</t>
  </si>
  <si>
    <t xml:space="preserve">2. Việt Nam có FDI/GDP trung bình ~5.9% (cao so với khu vực), độ mở thương mại trung bình ~144% GDP – là nền kinh tế cực kỳ mở.</t>
  </si>
  <si>
    <t xml:space="preserve">3. Balance_GDP thường âm (-3.5% TB), phản ánh tình trạng bội chi kéo dài; tương quan dương yếu với GDP_Growth ngụ ý thâm hụt giảm thường đi cùng tăng trưởng tốt hơn.</t>
  </si>
  <si>
    <t xml:space="preserve">4. Năm 2008 (lạm phát 23.1%, GFC), 2011 (lạm phát 18.7%) và 2020 (COVID-19, tăng trưởng 2.87%) là các năm bất thường lớn.</t>
  </si>
  <si>
    <t xml:space="preserve">5. Mô hình mở rộng (4 biến) cải thiện R² so với mô hình gốc, nhưng cú sốc COVID-19 2020 vẫn là điểm dữ liệu khó giải thích nếu không thêm biến giả.</t>
  </si>
  <si>
    <t xml:space="preserve">Dữ liệu tài chính công Việt Nam giai đoạn 2005–2020 (mở rộng)</t>
  </si>
  <si>
    <t xml:space="preserve">Đơn vị chính: %, % GDP; bổ sung các biến mở rộng FDI_GDP và Trade_Openness.</t>
  </si>
  <si>
    <t xml:space="preserve">Year</t>
  </si>
  <si>
    <t xml:space="preserve">GDP_Growth</t>
  </si>
  <si>
    <t xml:space="preserve">Revenue_GDP</t>
  </si>
  <si>
    <t xml:space="preserve">Expenditure_GDP</t>
  </si>
  <si>
    <t xml:space="preserve">Inflation</t>
  </si>
  <si>
    <t xml:space="preserve">Balance_GDP</t>
  </si>
  <si>
    <t xml:space="preserve">FDI_GDP</t>
  </si>
  <si>
    <t xml:space="preserve">Trade_Openness</t>
  </si>
  <si>
    <t xml:space="preserve">GDP_Current_USD_bn</t>
  </si>
  <si>
    <t xml:space="preserve">Data_Note</t>
  </si>
  <si>
    <t xml:space="preserve">Năm quan sát</t>
  </si>
  <si>
    <t xml:space="preserve">Tăng trưởng GDP thực hằng năm</t>
  </si>
  <si>
    <t xml:space="preserve">Tổng thu NSNN so với GDP</t>
  </si>
  <si>
    <t xml:space="preserve">Tổng chi NSNN so với GDP</t>
  </si>
  <si>
    <t xml:space="preserve">Lạm phát CPI hằng năm</t>
  </si>
  <si>
    <t xml:space="preserve">Cân đối ngân sách so với GDP = Thu/GDP - Chi/GDP</t>
  </si>
  <si>
    <t xml:space="preserve">Tỷ lệ FDI ròng so với GDP</t>
  </si>
  <si>
    <t xml:space="preserve">Độ mở thương mại = (XK+NK)/GDP</t>
  </si>
  <si>
    <t xml:space="preserve">GDP theo giá hiện hành (tỷ USD)</t>
  </si>
  <si>
    <t xml:space="preserve">Ghi chú</t>
  </si>
  <si>
    <t xml:space="preserve">Năm</t>
  </si>
  <si>
    <t xml:space="preserve">Tỷ USD</t>
  </si>
  <si>
    <t xml:space="preserve">Văn bản</t>
  </si>
  <si>
    <t xml:space="preserve">Năm bình thường</t>
  </si>
  <si>
    <t xml:space="preserve">Khủng hoảng tài chính toàn cầu (lạm phát ~23%)</t>
  </si>
  <si>
    <t xml:space="preserve">Hậu khủng hoảng GFC, tăng trưởng giảm</t>
  </si>
  <si>
    <t xml:space="preserve">Lạm phát hai con số (~18.7%)</t>
  </si>
  <si>
    <t xml:space="preserve">Đại dịch COVID-19, tăng trưởng giảm còn 2.87%</t>
  </si>
  <si>
    <t xml:space="preserve">Mô tả biến và cách sử dụng (Codebook)</t>
  </si>
  <si>
    <t xml:space="preserve">Codebook giúp người đọc hiểu nhanh từng biến, đơn vị, vai trò và cách diễn giải.</t>
  </si>
  <si>
    <t xml:space="preserve">Biến</t>
  </si>
  <si>
    <t xml:space="preserve">Tên đầy đủ</t>
  </si>
  <si>
    <t xml:space="preserve">Đơn vị</t>
  </si>
  <si>
    <t xml:space="preserve">Nguồn/Công thức</t>
  </si>
  <si>
    <t xml:space="preserve">Vai trò</t>
  </si>
  <si>
    <t xml:space="preserve">Cách diễn giải / Lưu ý</t>
  </si>
  <si>
    <t xml:space="preserve">Dữ liệu theo năm 2005–2020</t>
  </si>
  <si>
    <t xml:space="preserve">Biến thời gian</t>
  </si>
  <si>
    <t xml:space="preserve">Mỗi dòng là một năm của Việt Nam. Không dùng làm biến hồi quy.</t>
  </si>
  <si>
    <t xml:space="preserve">Tăng trưởng GDP thực</t>
  </si>
  <si>
    <t xml:space="preserve">FRED/IMF WEO</t>
  </si>
  <si>
    <t xml:space="preserve">Biến phụ thuộc (Y)</t>
  </si>
  <si>
    <t xml:space="preserve">Biến Y trong mô hình chính. Đo lường tốc độ tăng trưởng kinh tế hằng năm.</t>
  </si>
  <si>
    <t xml:space="preserve">Cân đối ngân sách/GDP</t>
  </si>
  <si>
    <t xml:space="preserve">Revenue_GDP - Expenditure_GDP</t>
  </si>
  <si>
    <t xml:space="preserve">Biến độc lập (X1)</t>
  </si>
  <si>
    <t xml:space="preserve">Số âm thể hiện bội chi; số dương thể hiện thặng dư. β1 &gt; 0 nghĩa là cân đối tốt hơn đi kèm tăng trưởng cao hơn.</t>
  </si>
  <si>
    <t xml:space="preserve">Lạm phát CPI</t>
  </si>
  <si>
    <t xml:space="preserve">FRED/World Bank/IMF IFS</t>
  </si>
  <si>
    <t xml:space="preserve">Biến kiểm soát (X2)</t>
  </si>
  <si>
    <t xml:space="preserve">Lạm phát cao thường đi kèm bất ổn vĩ mô. Năm 2008 (23.1%) và 2011 (18.7%) là điểm bất thường.</t>
  </si>
  <si>
    <t xml:space="preserve">Tỷ lệ FDI ròng/GDP</t>
  </si>
  <si>
    <t xml:space="preserve">World Bank BX.KLT.DINV.WD.GD.ZS</t>
  </si>
  <si>
    <t xml:space="preserve">Biến độc lập bổ sung (X3)</t>
  </si>
  <si>
    <t xml:space="preserve">Đo dòng vốn FDI ròng vào nền kinh tế. β3 dự kiến &gt; 0: FDI cao thúc đẩy tăng trưởng.</t>
  </si>
  <si>
    <t xml:space="preserve">Độ mở thương mại = (X+M)/GDP</t>
  </si>
  <si>
    <t xml:space="preserve">World Bank NE.TRD.GNFS.ZS</t>
  </si>
  <si>
    <t xml:space="preserve">Biến độc lập bổ sung (X4)</t>
  </si>
  <si>
    <t xml:space="preserve">Đo mức độ hội nhập kinh tế. Việt Nam là nền kinh tế mở (~130-165% GDP), β4 dự kiến &gt; 0.</t>
  </si>
  <si>
    <t xml:space="preserve">Thu NSNN/GDP</t>
  </si>
  <si>
    <t xml:space="preserve">IMF WEO + World Bank MPO</t>
  </si>
  <si>
    <t xml:space="preserve">Biến tham khảo</t>
  </si>
  <si>
    <t xml:space="preserve">Không trực tiếp trong mô hình mở rộng; dùng để tính Balance_GDP.</t>
  </si>
  <si>
    <t xml:space="preserve">Chi NSNN/GDP</t>
  </si>
  <si>
    <t xml:space="preserve">GDP hiện hành</t>
  </si>
  <si>
    <t xml:space="preserve">FRED/World Bank</t>
  </si>
  <si>
    <t xml:space="preserve">Biến quy mô</t>
  </si>
  <si>
    <t xml:space="preserve">Dùng để ước tính giá trị tuyệt đối; không dùng trong mô hình chính.</t>
  </si>
  <si>
    <t xml:space="preserve">Thống kê mô tả các biến</t>
  </si>
  <si>
    <t xml:space="preserve">Tất cả các chỉ tiêu sử dụng công thức Excel tham chiếu từ sheet Data_2005_2020 (16 quan sát: 2005–2020).</t>
  </si>
  <si>
    <t xml:space="preserve">Mô tả</t>
  </si>
  <si>
    <t xml:space="preserve">N</t>
  </si>
  <si>
    <t xml:space="preserve">Trung bình</t>
  </si>
  <si>
    <t xml:space="preserve">Độ lệch chuẩn</t>
  </si>
  <si>
    <t xml:space="preserve">Nhỏ nhất</t>
  </si>
  <si>
    <t xml:space="preserve">Lớn nhất</t>
  </si>
  <si>
    <t xml:space="preserve">FDI ròng/GDP</t>
  </si>
  <si>
    <t xml:space="preserve">Độ mở thương mại</t>
  </si>
  <si>
    <t xml:space="preserve">Ma trận hệ số tương quan (Pearson)</t>
  </si>
  <si>
    <t xml:space="preserve">Dùng để kiểm tra mối quan hệ sơ bộ giữa các biến và phát hiện đa cộng tuyến.</t>
  </si>
  <si>
    <t xml:space="preserve">Cách đọc:</t>
  </si>
  <si>
    <t xml:space="preserve">|r| &gt; 0.8 là tương quan rất mạnh; 0.5–0.8 mạnh; 0.3–0.5 trung bình; &lt; 0.3 yếu. Nếu hai biến độc lập có |r| &gt; 0.8 cần thận trọng do đa cộng tuyến.</t>
  </si>
  <si>
    <t xml:space="preserve">Hồi quy OLS – Mô hình mở rộng có FDI_GDP và Trade_Openness</t>
  </si>
  <si>
    <t xml:space="preserve">Mô hình: GDP_Growth_t = β0 + β1·Balance_GDP_t + β2·Inflation_t + β3·FDI_GDP_t + β4·Trade_Openness_t + u_t</t>
  </si>
  <si>
    <t xml:space="preserve">A. MÔ HÌNH MỞ RỘNG (4 biến độc lập)</t>
  </si>
  <si>
    <t xml:space="preserve">Hệ số (β)</t>
  </si>
  <si>
    <t xml:space="preserve">Sai số chuẩn</t>
  </si>
  <si>
    <t xml:space="preserve">t-stat</t>
  </si>
  <si>
    <t xml:space="preserve">P-value (hai phía)</t>
  </si>
  <si>
    <t xml:space="preserve">Mức ý nghĩa</t>
  </si>
  <si>
    <t xml:space="preserve">Diễn giải ngắn</t>
  </si>
  <si>
    <t xml:space="preserve">Chỉ tiêu</t>
  </si>
  <si>
    <t xml:space="preserve">Giá trị</t>
  </si>
  <si>
    <t xml:space="preserve">Intercept (β0)</t>
  </si>
  <si>
    <t xml:space="preserve">Hằng số chặn của mô hình.</t>
  </si>
  <si>
    <t xml:space="preserve">Số quan sát (n)</t>
  </si>
  <si>
    <t xml:space="preserve">Balance_GDP (β1)</t>
  </si>
  <si>
    <t xml:space="preserve">Cân đối ngân sách tăng 1 điểm % GDP làm GDP_Growth thay đổi β1 điểm %, các yếu tố khác không đổi.</t>
  </si>
  <si>
    <t xml:space="preserve">Số biến độc lập (k)</t>
  </si>
  <si>
    <t xml:space="preserve">Inflation (β2)</t>
  </si>
  <si>
    <t xml:space="preserve">Lạm phát tăng 1 điểm % làm GDP_Growth thay đổi β2 điểm %, các yếu tố khác không đổi.</t>
  </si>
  <si>
    <t xml:space="preserve">Bậc tự do dư (n-k-1)</t>
  </si>
  <si>
    <t xml:space="preserve">FDI_GDP (β3)</t>
  </si>
  <si>
    <t xml:space="preserve">FDI/GDP tăng 1 điểm % làm GDP_Growth thay đổi β3 điểm %, các yếu tố khác không đổi.</t>
  </si>
  <si>
    <t xml:space="preserve">R-squared</t>
  </si>
  <si>
    <t xml:space="preserve">Trade_Openness (β4)</t>
  </si>
  <si>
    <t xml:space="preserve">Độ mở thương mại tăng 1 điểm % làm GDP_Growth thay đổi β4 điểm %, các yếu tố khác không đổi.</t>
  </si>
  <si>
    <t xml:space="preserve">Adjusted R-squared</t>
  </si>
  <si>
    <t xml:space="preserve">SE of regression</t>
  </si>
  <si>
    <t xml:space="preserve">Ký hiệu:</t>
  </si>
  <si>
    <t xml:space="preserve">*** p&lt;0.01, ** p&lt;0.05, * p&lt;0.1 (kiểm định t hai phía).</t>
  </si>
  <si>
    <t xml:space="preserve">F-statistic</t>
  </si>
  <si>
    <t xml:space="preserve">Prob (F-statistic)</t>
  </si>
  <si>
    <t xml:space="preserve">SS Regression</t>
  </si>
  <si>
    <t xml:space="preserve">B. SO SÁNH VỚI MÔ HÌNH GỐC (chỉ có Revenue_GDP, Expenditure_GDP, Inflation)</t>
  </si>
  <si>
    <t xml:space="preserve">Mô hình gốc (3 biến)</t>
  </si>
  <si>
    <t xml:space="preserve">Mô hình mở rộng (4 biến)</t>
  </si>
  <si>
    <t xml:space="preserve">Thay đổi</t>
  </si>
  <si>
    <t xml:space="preserve">Nhận xét</t>
  </si>
  <si>
    <t xml:space="preserve">3</t>
  </si>
  <si>
    <t xml:space="preserve">4</t>
  </si>
  <si>
    <t xml:space="preserve">Mô hình mở rộng thêm FDI_GDP và Trade_Openness; đồng thời thay Revenue/Expenditure bằng Balance_GDP (= Revenue – Expenditure).</t>
  </si>
  <si>
    <t xml:space="preserve">Bậc tự do dư</t>
  </si>
  <si>
    <t xml:space="preserve">12</t>
  </si>
  <si>
    <t xml:space="preserve">11</t>
  </si>
  <si>
    <t xml:space="preserve">Giảm 1 do thêm 2 biến mới và bớt 1 biến (gộp Revenue, Expenditure thành Balance).</t>
  </si>
  <si>
    <t xml:space="preserve">R² tăng phản ánh khả năng giải thích tốt hơn nhờ bổ sung biến vĩ mô FDI và độ mở thương mại.</t>
  </si>
  <si>
    <t xml:space="preserve">Adj R² tăng cho thấy phần cải thiện không hoàn toàn đến từ việc thêm biến.</t>
  </si>
  <si>
    <t xml:space="preserve">F-statistic chung của mô hình mở rộng.</t>
  </si>
  <si>
    <t xml:space="preserve">Nếu Prob(F) &lt; 0.10 mô hình có ý nghĩa thống kê tổng quát ở mức 10%.</t>
  </si>
  <si>
    <t xml:space="preserve">C. HƯỚNG DẪN ĐỌC KẾT QUẢ</t>
  </si>
  <si>
    <t xml:space="preserve">1. Ý nghĩa thống kê: Mức ý nghĩa được đánh dấu *** (p&lt;0.01), ** (p&lt;0.05), * (p&lt;0.1). Với 16 quan sát và 4 biến độc lập, bậc tự do dư còn 11, mức 10% (*) là chấp nhận được khi viết báo cáo.</t>
  </si>
  <si>
    <t xml:space="preserve">2. Balance_GDP dự kiến có hệ số dương: cân đối ngân sách cải thiện (bội chi giảm hoặc thặng dư tăng) đi kèm tăng trưởng GDP cao hơn.</t>
  </si>
  <si>
    <t xml:space="preserve">3. Inflation dự kiến có hệ số âm: lạm phát cao làm méo mó hệ thống giá, giảm tăng trưởng thực. Tuy nhiên, hệ số nhỏ và không có ý nghĩa thống kê do biến động lạm phát cũng phản ánh chu kỳ kinh tế.</t>
  </si>
  <si>
    <t xml:space="preserve">4. FDI_GDP và Trade_Openness là kênh tăng trưởng dài hạn theo lý thuyết, nhưng với mẫu nhỏ 16 năm có thể không có ý nghĩa thống kê. Vẫn nên giữ trong mô hình để giảm thiên chệch do biến thiếu (omitted variable bias).</t>
  </si>
  <si>
    <t xml:space="preserve">5. Đa cộng tuyến: Trade_Openness và FDI_GDP đều có xu hướng tăng theo thời gian khi Việt Nam hội nhập sâu hơn — cần đọc ma trận tương quan trước khi giải thích từng hệ số.</t>
  </si>
  <si>
    <t xml:space="preserve">6. Tái lập trong Excel: Data → Data Analysis → Regression; Input Y = Data_2005_2020!B7:B22; Input X = Data_2005_2020!E7:H22 (thứ tự cột: Inflation, Balance_GDP, FDI_GDP, Trade_Openness).</t>
  </si>
  <si>
    <t xml:space="preserve">7. Hạn chế: Mẫu 16 năm là quá ngắn để áp dụng các kiểm định mạnh (Breusch-Godfrey, White heteroskedasticity, Chow break). Năm 2020 (COVID-19) là outlier rất lớn nhưng mô hình không có biến giả để hấp thụ – báo cáo cần nêu rõ.</t>
  </si>
  <si>
    <t xml:space="preserve">Nguồn dữ liệu và ghi chú trích dẫn</t>
  </si>
  <si>
    <t xml:space="preserve">Các URL nguồn để tiện kiểm tra/tái lập trong báo cáo.</t>
  </si>
  <si>
    <t xml:space="preserve">Nguồn</t>
  </si>
  <si>
    <t xml:space="preserve">Dùng cho biến</t>
  </si>
  <si>
    <t xml:space="preserve">URL</t>
  </si>
  <si>
    <t xml:space="preserve">FRED / IMF WEO Real GDP growth</t>
  </si>
  <si>
    <t xml:space="preserve">https://fred.stlouisfed.org/series/VNMNGDPRPCPPPT</t>
  </si>
  <si>
    <t xml:space="preserve">Annual percent change; nguồn IMF WEO được FRED trình bày.</t>
  </si>
  <si>
    <t xml:space="preserve">FRED / World Bank / IMF IFS Inflation</t>
  </si>
  <si>
    <t xml:space="preserve">https://fred.stlouisfed.org/series/FPCPITOTLZGVNM</t>
  </si>
  <si>
    <t xml:space="preserve">Lạm phát CPI hằng năm cho Việt Nam.</t>
  </si>
  <si>
    <t xml:space="preserve">FRED / World Bank GDP current USD</t>
  </si>
  <si>
    <t xml:space="preserve">https://fred.stlouisfed.org/series/MKTGDPVNA646NWDB</t>
  </si>
  <si>
    <t xml:space="preserve">GDP giá hiện hành (USD), đã quy đổi sang tỷ USD.</t>
  </si>
  <si>
    <t xml:space="preserve">EconStats IMF WEO</t>
  </si>
  <si>
    <t xml:space="preserve">Revenue_GDP, Expenditure_GDP 2005–2008</t>
  </si>
  <si>
    <t xml:space="preserve">https://www.econstats.com/weo/CVNM.htm</t>
  </si>
  <si>
    <t xml:space="preserve">Tỷ lệ thu/chi tài khóa giai đoạn 2005–2008.</t>
  </si>
  <si>
    <t xml:space="preserve">World Bank MPO Selected Indicators</t>
  </si>
  <si>
    <t xml:space="preserve">Revenue_GDP, Expenditure_GDP 2009–2020</t>
  </si>
  <si>
    <t xml:space="preserve">https://thedocs.worldbank.org/en/doc/833741613054423131-0500052021/related/mpo-vnm.pdf</t>
  </si>
  <si>
    <t xml:space="preserve">Bảng Selected indicators về thu/chi và cân đối ngân sách 2009–2020E.</t>
  </si>
  <si>
    <t xml:space="preserve">World Bank WDI – BX.KLT.DINV.WD.GD.ZS</t>
  </si>
  <si>
    <t xml:space="preserve">https://data.worldbank.org/indicator/BX.KLT.DINV.WD.GD.ZS?locations=VN</t>
  </si>
  <si>
    <t xml:space="preserve">FDI net inflows (% of GDP) cho Việt Nam; IMF BoP + WB staff estimates.</t>
  </si>
  <si>
    <t xml:space="preserve">World Bank WDI – NE.TRD.GNFS.ZS</t>
  </si>
  <si>
    <t xml:space="preserve">https://data.worldbank.org/indicator/NE.TRD.GNFS.ZS?locations=VN</t>
  </si>
  <si>
    <t xml:space="preserve">Trade (% of GDP) = (Exports + Imports) / GDP.</t>
  </si>
  <si>
    <t xml:space="preserve">CEIC / IMF GFS</t>
  </si>
  <si>
    <t xml:space="preserve">Đối chiếu định nghĩa</t>
  </si>
  <si>
    <t xml:space="preserve">https://www.ceicdata.com/en/vietnam/government-finance-statistics</t>
  </si>
  <si>
    <t xml:space="preserve">Nguồn đối chiếu định nghĩa general government revenue/expenditure % GDP.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</si>
</sst>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00000"/>
    <numFmt numFmtId="168" formatCode="General"/>
    <numFmt numFmtId="169" formatCode="0.0000"/>
    <numFmt numFmtId="170" formatCode="\+0;\-0;0"/>
    <numFmt numFmtId="171" formatCode="\+0.0000;\-0.0000;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0563C1"/>
      </patternFill>
    </fill>
    <fill>
      <patternFill patternType="solid">
        <fgColor rgb="FFDEEBF7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305496"/>
        <bgColor rgb="FF1F4E7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30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3" customFormat="false" ht="99.75" hidden="false" customHeight="true" outlineLevel="0" collapsed="false">
      <c r="A13" s="6" t="s">
        <v>18</v>
      </c>
      <c r="B13" s="5" t="s">
        <v>19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7" t="s">
        <v>21</v>
      </c>
      <c r="B2" s="7"/>
      <c r="C2" s="7"/>
      <c r="D2" s="7"/>
      <c r="E2" s="7"/>
      <c r="F2" s="7"/>
      <c r="G2" s="7"/>
      <c r="H2" s="7"/>
      <c r="I2" s="7"/>
    </row>
    <row r="4" customFormat="false" ht="21.75" hidden="false" customHeight="true" outlineLevel="0" collapsed="false">
      <c r="A4" s="8" t="s">
        <v>22</v>
      </c>
      <c r="B4" s="8"/>
      <c r="C4" s="8" t="s">
        <v>23</v>
      </c>
      <c r="D4" s="8"/>
      <c r="E4" s="8" t="s">
        <v>24</v>
      </c>
      <c r="F4" s="8"/>
      <c r="G4" s="8" t="s">
        <v>25</v>
      </c>
      <c r="H4" s="8"/>
    </row>
    <row r="5" customFormat="false" ht="37.5" hidden="false" customHeight="true" outlineLevel="0" collapsed="false">
      <c r="A5" s="9" t="n">
        <f aca="false">AVERAGE(Data_2005_2020!B7:B22)</f>
        <v>6.3336345625</v>
      </c>
      <c r="B5" s="9"/>
      <c r="C5" s="9" t="n">
        <f aca="false">AVERAGE(Data_2005_2020!F7:F22)</f>
        <v>-3.533125</v>
      </c>
      <c r="D5" s="9"/>
      <c r="E5" s="9" t="n">
        <f aca="false">AVERAGE(Data_2005_2020!G7:G22)</f>
        <v>6.076875</v>
      </c>
      <c r="F5" s="9"/>
      <c r="G5" s="9" t="n">
        <f aca="false">AVERAGE(Data_2005_2020!H7:H22)</f>
        <v>142.830625</v>
      </c>
      <c r="H5" s="9"/>
    </row>
    <row r="6" customFormat="false" ht="18" hidden="false" customHeight="true" outlineLevel="0" collapsed="false">
      <c r="A6" s="10" t="s">
        <v>26</v>
      </c>
      <c r="B6" s="10"/>
      <c r="C6" s="10" t="s">
        <v>27</v>
      </c>
      <c r="D6" s="10"/>
      <c r="E6" s="10" t="s">
        <v>27</v>
      </c>
      <c r="F6" s="10"/>
      <c r="G6" s="10" t="s">
        <v>27</v>
      </c>
      <c r="H6" s="10"/>
    </row>
    <row r="8" customFormat="false" ht="21.75" hidden="false" customHeight="true" outlineLevel="0" collapsed="false">
      <c r="A8" s="8" t="s">
        <v>28</v>
      </c>
      <c r="B8" s="8"/>
      <c r="C8" s="8" t="s">
        <v>29</v>
      </c>
      <c r="D8" s="8"/>
      <c r="E8" s="8" t="s">
        <v>30</v>
      </c>
      <c r="F8" s="8"/>
      <c r="G8" s="8" t="s">
        <v>31</v>
      </c>
      <c r="H8" s="8"/>
    </row>
    <row r="9" customFormat="false" ht="37.5" hidden="false" customHeight="true" outlineLevel="0" collapsed="false">
      <c r="A9" s="9" t="n">
        <f aca="false">MAX(Data_2005_2020!E7:E22)</f>
        <v>23.115448</v>
      </c>
      <c r="B9" s="9"/>
      <c r="C9" s="9" t="n">
        <f aca="false">AVERAGE(Data_2005_2020!E7:E22)</f>
        <v>7.3695431875</v>
      </c>
      <c r="D9" s="9"/>
      <c r="E9" s="11" t="n">
        <f aca="false">INDEX(Data_2005_2020!A7:A22,MATCH(MIN(Data_2005_2020!B7:B22),Data_2005_2020!B7:B22,0))</f>
        <v>2020</v>
      </c>
      <c r="F9" s="11"/>
      <c r="G9" s="9" t="n">
        <f aca="false">MIN(Data_2005_2020!B7:B22)</f>
        <v>2.865413</v>
      </c>
      <c r="H9" s="9"/>
    </row>
    <row r="10" customFormat="false" ht="18" hidden="false" customHeight="true" outlineLevel="0" collapsed="false">
      <c r="A10" s="10" t="s">
        <v>26</v>
      </c>
      <c r="B10" s="10"/>
      <c r="C10" s="10" t="s">
        <v>26</v>
      </c>
      <c r="D10" s="10"/>
      <c r="E10" s="10" t="s">
        <v>32</v>
      </c>
      <c r="F10" s="10"/>
      <c r="G10" s="10" t="s">
        <v>26</v>
      </c>
      <c r="H10" s="10"/>
    </row>
    <row r="12" customFormat="false" ht="15" hidden="false" customHeight="false" outlineLevel="0" collapsed="false">
      <c r="A12" s="12" t="s">
        <v>33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3" t="s">
        <v>34</v>
      </c>
      <c r="B13" s="13"/>
      <c r="C13" s="13"/>
      <c r="D13" s="13"/>
      <c r="E13" s="13"/>
      <c r="F13" s="13"/>
      <c r="G13" s="13"/>
      <c r="H13" s="13"/>
      <c r="I13" s="13"/>
    </row>
    <row r="14" customFormat="false" ht="30" hidden="false" customHeight="true" outlineLevel="0" collapsed="false">
      <c r="A14" s="13" t="s">
        <v>35</v>
      </c>
      <c r="B14" s="13"/>
      <c r="C14" s="13"/>
      <c r="D14" s="13"/>
      <c r="E14" s="13"/>
      <c r="F14" s="13"/>
      <c r="G14" s="13"/>
      <c r="H14" s="13"/>
      <c r="I14" s="13"/>
    </row>
    <row r="15" customFormat="false" ht="30" hidden="false" customHeight="true" outlineLevel="0" collapsed="false">
      <c r="A15" s="13" t="s">
        <v>36</v>
      </c>
      <c r="B15" s="13"/>
      <c r="C15" s="13"/>
      <c r="D15" s="13"/>
      <c r="E15" s="13"/>
      <c r="F15" s="13"/>
      <c r="G15" s="13"/>
      <c r="H15" s="13"/>
      <c r="I15" s="13"/>
    </row>
    <row r="16" customFormat="false" ht="30" hidden="false" customHeight="true" outlineLevel="0" collapsed="false">
      <c r="A16" s="13" t="s">
        <v>37</v>
      </c>
      <c r="B16" s="13"/>
      <c r="C16" s="13"/>
      <c r="D16" s="13"/>
      <c r="E16" s="13"/>
      <c r="F16" s="13"/>
      <c r="G16" s="13"/>
      <c r="H16" s="13"/>
      <c r="I16" s="13"/>
    </row>
    <row r="17" customFormat="false" ht="30" hidden="false" customHeight="true" outlineLevel="0" collapsed="false">
      <c r="A17" s="13" t="s">
        <v>38</v>
      </c>
      <c r="B17" s="13"/>
      <c r="C17" s="13"/>
      <c r="D17" s="13"/>
      <c r="E17" s="13"/>
      <c r="F17" s="13"/>
      <c r="G17" s="13"/>
      <c r="H17" s="13"/>
      <c r="I17" s="13"/>
    </row>
  </sheetData>
  <mergeCells count="32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I12"/>
    <mergeCell ref="A13:I13"/>
    <mergeCell ref="A14:I14"/>
    <mergeCell ref="A15:I15"/>
    <mergeCell ref="A16:I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38"/>
  </cols>
  <sheetData>
    <row r="1" customFormat="false" ht="27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14" t="s">
        <v>41</v>
      </c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50</v>
      </c>
    </row>
    <row r="5" customFormat="false" ht="30" hidden="false" customHeight="true" outlineLevel="0" collapsed="false">
      <c r="A5" s="15" t="s">
        <v>51</v>
      </c>
      <c r="B5" s="15" t="s">
        <v>52</v>
      </c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59</v>
      </c>
      <c r="J5" s="15" t="s">
        <v>60</v>
      </c>
    </row>
    <row r="6" customFormat="false" ht="18" hidden="false" customHeight="true" outlineLevel="0" collapsed="false">
      <c r="A6" s="16" t="s">
        <v>61</v>
      </c>
      <c r="B6" s="16" t="s">
        <v>26</v>
      </c>
      <c r="C6" s="16" t="s">
        <v>27</v>
      </c>
      <c r="D6" s="16" t="s">
        <v>27</v>
      </c>
      <c r="E6" s="16" t="s">
        <v>26</v>
      </c>
      <c r="F6" s="16" t="s">
        <v>27</v>
      </c>
      <c r="G6" s="16" t="s">
        <v>27</v>
      </c>
      <c r="H6" s="16" t="s">
        <v>27</v>
      </c>
      <c r="I6" s="16" t="s">
        <v>62</v>
      </c>
      <c r="J6" s="16" t="s">
        <v>63</v>
      </c>
    </row>
    <row r="7" customFormat="false" ht="15" hidden="false" customHeight="false" outlineLevel="0" collapsed="false">
      <c r="A7" s="17" t="n">
        <v>2005</v>
      </c>
      <c r="B7" s="18" t="n">
        <v>7.547256</v>
      </c>
      <c r="C7" s="19" t="n">
        <v>27.2</v>
      </c>
      <c r="D7" s="19" t="n">
        <v>28.51</v>
      </c>
      <c r="E7" s="18" t="n">
        <v>8.284572</v>
      </c>
      <c r="F7" s="20" t="n">
        <f aca="false">C7-D7</f>
        <v>-1.31</v>
      </c>
      <c r="G7" s="19" t="n">
        <v>3.39</v>
      </c>
      <c r="H7" s="19" t="n">
        <v>130.71</v>
      </c>
      <c r="I7" s="19" t="n">
        <v>57.633256</v>
      </c>
      <c r="J7" s="21" t="s">
        <v>64</v>
      </c>
    </row>
    <row r="8" customFormat="false" ht="15" hidden="false" customHeight="false" outlineLevel="0" collapsed="false">
      <c r="A8" s="17" t="n">
        <v>2006</v>
      </c>
      <c r="B8" s="18" t="n">
        <v>6.977975</v>
      </c>
      <c r="C8" s="19" t="n">
        <v>28.69</v>
      </c>
      <c r="D8" s="19" t="n">
        <v>28.39</v>
      </c>
      <c r="E8" s="18" t="n">
        <v>7.418017</v>
      </c>
      <c r="F8" s="20" t="n">
        <f aca="false">C8-D8</f>
        <v>0.300000000000001</v>
      </c>
      <c r="G8" s="19" t="n">
        <v>3.62</v>
      </c>
      <c r="H8" s="19" t="n">
        <v>138.31</v>
      </c>
      <c r="I8" s="19" t="n">
        <v>66.371665</v>
      </c>
      <c r="J8" s="21" t="s">
        <v>64</v>
      </c>
    </row>
    <row r="9" customFormat="false" ht="15" hidden="false" customHeight="false" outlineLevel="0" collapsed="false">
      <c r="A9" s="17" t="n">
        <v>2007</v>
      </c>
      <c r="B9" s="18" t="n">
        <v>7.129493</v>
      </c>
      <c r="C9" s="19" t="n">
        <v>28.45</v>
      </c>
      <c r="D9" s="19" t="n">
        <v>30.63</v>
      </c>
      <c r="E9" s="18" t="n">
        <v>8.344449</v>
      </c>
      <c r="F9" s="20" t="n">
        <f aca="false">C9-D9</f>
        <v>-2.18</v>
      </c>
      <c r="G9" s="19" t="n">
        <v>8.65</v>
      </c>
      <c r="H9" s="19" t="n">
        <v>154.61</v>
      </c>
      <c r="I9" s="19" t="n">
        <v>77.414426</v>
      </c>
      <c r="J9" s="21" t="s">
        <v>64</v>
      </c>
    </row>
    <row r="10" customFormat="false" ht="26.85" hidden="false" customHeight="false" outlineLevel="0" collapsed="false">
      <c r="A10" s="17" t="n">
        <v>2008</v>
      </c>
      <c r="B10" s="18" t="n">
        <v>5.661787</v>
      </c>
      <c r="C10" s="19" t="n">
        <v>28.91</v>
      </c>
      <c r="D10" s="19" t="n">
        <v>29.45</v>
      </c>
      <c r="E10" s="18" t="n">
        <v>23.115448</v>
      </c>
      <c r="F10" s="20" t="n">
        <f aca="false">C10-D10</f>
        <v>-0.539999999999999</v>
      </c>
      <c r="G10" s="19" t="n">
        <v>9.66</v>
      </c>
      <c r="H10" s="19" t="n">
        <v>154.32</v>
      </c>
      <c r="I10" s="19" t="n">
        <v>99.130304</v>
      </c>
      <c r="J10" s="21" t="s">
        <v>65</v>
      </c>
    </row>
    <row r="11" customFormat="false" ht="26.85" hidden="false" customHeight="false" outlineLevel="0" collapsed="false">
      <c r="A11" s="17" t="n">
        <v>2009</v>
      </c>
      <c r="B11" s="18" t="n">
        <v>5.397871</v>
      </c>
      <c r="C11" s="19" t="n">
        <v>25.6</v>
      </c>
      <c r="D11" s="19" t="n">
        <v>31.6</v>
      </c>
      <c r="E11" s="18" t="n">
        <v>6.716983</v>
      </c>
      <c r="F11" s="20" t="n">
        <f aca="false">C11-D11</f>
        <v>-6</v>
      </c>
      <c r="G11" s="19" t="n">
        <v>7.17</v>
      </c>
      <c r="H11" s="19" t="n">
        <v>134.71</v>
      </c>
      <c r="I11" s="19" t="n">
        <v>106.01466</v>
      </c>
      <c r="J11" s="21" t="s">
        <v>66</v>
      </c>
    </row>
    <row r="12" customFormat="false" ht="15" hidden="false" customHeight="false" outlineLevel="0" collapsed="false">
      <c r="A12" s="17" t="n">
        <v>2010</v>
      </c>
      <c r="B12" s="18" t="n">
        <v>6.423267</v>
      </c>
      <c r="C12" s="19" t="n">
        <v>27.3</v>
      </c>
      <c r="D12" s="19" t="n">
        <v>30</v>
      </c>
      <c r="E12" s="18" t="n">
        <v>9.207466</v>
      </c>
      <c r="F12" s="20" t="n">
        <f aca="false">C12-D12</f>
        <v>-2.7</v>
      </c>
      <c r="G12" s="19" t="n">
        <v>6.9</v>
      </c>
      <c r="H12" s="19" t="n">
        <v>113.98</v>
      </c>
      <c r="I12" s="19" t="n">
        <v>147.201173</v>
      </c>
      <c r="J12" s="21" t="s">
        <v>64</v>
      </c>
    </row>
    <row r="13" customFormat="false" ht="15" hidden="false" customHeight="false" outlineLevel="0" collapsed="false">
      <c r="A13" s="17" t="n">
        <v>2011</v>
      </c>
      <c r="B13" s="18" t="n">
        <v>6.413169</v>
      </c>
      <c r="C13" s="19" t="n">
        <v>25.9</v>
      </c>
      <c r="D13" s="19" t="n">
        <v>27</v>
      </c>
      <c r="E13" s="18" t="n">
        <v>18.677732</v>
      </c>
      <c r="F13" s="20" t="n">
        <f aca="false">C13-D13</f>
        <v>-1.1</v>
      </c>
      <c r="G13" s="19" t="n">
        <v>5.48</v>
      </c>
      <c r="H13" s="19" t="n">
        <v>125.26</v>
      </c>
      <c r="I13" s="19" t="n">
        <v>172.595049</v>
      </c>
      <c r="J13" s="21" t="s">
        <v>67</v>
      </c>
    </row>
    <row r="14" customFormat="false" ht="15" hidden="false" customHeight="false" outlineLevel="0" collapsed="false">
      <c r="A14" s="17" t="n">
        <v>2012</v>
      </c>
      <c r="B14" s="18" t="n">
        <v>5.504545</v>
      </c>
      <c r="C14" s="19" t="n">
        <v>22.6</v>
      </c>
      <c r="D14" s="19" t="n">
        <v>29.5</v>
      </c>
      <c r="E14" s="18" t="n">
        <v>9.094703</v>
      </c>
      <c r="F14" s="20" t="n">
        <f aca="false">C14-D14</f>
        <v>-6.9</v>
      </c>
      <c r="G14" s="19" t="n">
        <v>5.37</v>
      </c>
      <c r="H14" s="19" t="n">
        <v>123.22</v>
      </c>
      <c r="I14" s="19" t="n">
        <v>195.590661</v>
      </c>
      <c r="J14" s="21" t="s">
        <v>64</v>
      </c>
    </row>
    <row r="15" customFormat="false" ht="15" hidden="false" customHeight="false" outlineLevel="0" collapsed="false">
      <c r="A15" s="17" t="n">
        <v>2013</v>
      </c>
      <c r="B15" s="18" t="n">
        <v>5.553511</v>
      </c>
      <c r="C15" s="19" t="n">
        <v>23.1</v>
      </c>
      <c r="D15" s="19" t="n">
        <v>30.5</v>
      </c>
      <c r="E15" s="18" t="n">
        <v>6.592675</v>
      </c>
      <c r="F15" s="20" t="n">
        <f aca="false">C15-D15</f>
        <v>-7.4</v>
      </c>
      <c r="G15" s="19" t="n">
        <v>5.2</v>
      </c>
      <c r="H15" s="19" t="n">
        <v>130.85</v>
      </c>
      <c r="I15" s="19" t="n">
        <v>213.708812</v>
      </c>
      <c r="J15" s="21" t="s">
        <v>64</v>
      </c>
    </row>
    <row r="16" customFormat="false" ht="15" hidden="false" customHeight="false" outlineLevel="0" collapsed="false">
      <c r="A16" s="17" t="n">
        <v>2014</v>
      </c>
      <c r="B16" s="18" t="n">
        <v>6.422243</v>
      </c>
      <c r="C16" s="19" t="n">
        <v>22.2</v>
      </c>
      <c r="D16" s="19" t="n">
        <v>28.5</v>
      </c>
      <c r="E16" s="18" t="n">
        <v>4.084554</v>
      </c>
      <c r="F16" s="20" t="n">
        <f aca="false">C16-D16</f>
        <v>-6.3</v>
      </c>
      <c r="G16" s="19" t="n">
        <v>4.94</v>
      </c>
      <c r="H16" s="19" t="n">
        <v>135.41</v>
      </c>
      <c r="I16" s="19" t="n">
        <v>233.45147</v>
      </c>
      <c r="J16" s="21" t="s">
        <v>64</v>
      </c>
    </row>
    <row r="17" customFormat="false" ht="15" hidden="false" customHeight="false" outlineLevel="0" collapsed="false">
      <c r="A17" s="17" t="n">
        <v>2015</v>
      </c>
      <c r="B17" s="18" t="n">
        <v>6.987154</v>
      </c>
      <c r="C17" s="19" t="n">
        <v>23.8</v>
      </c>
      <c r="D17" s="19" t="n">
        <v>29.9</v>
      </c>
      <c r="E17" s="18" t="n">
        <v>0.631201</v>
      </c>
      <c r="F17" s="20" t="n">
        <f aca="false">C17-D17</f>
        <v>-6.1</v>
      </c>
      <c r="G17" s="19" t="n">
        <v>6.11</v>
      </c>
      <c r="H17" s="19" t="n">
        <v>144.91</v>
      </c>
      <c r="I17" s="19" t="n">
        <v>239.258328</v>
      </c>
      <c r="J17" s="21" t="s">
        <v>64</v>
      </c>
    </row>
    <row r="18" customFormat="false" ht="15" hidden="false" customHeight="false" outlineLevel="0" collapsed="false">
      <c r="A18" s="17" t="n">
        <v>2016</v>
      </c>
      <c r="B18" s="18" t="n">
        <v>6.690009</v>
      </c>
      <c r="C18" s="19" t="n">
        <v>23.9</v>
      </c>
      <c r="D18" s="19" t="n">
        <v>27.8</v>
      </c>
      <c r="E18" s="18" t="n">
        <v>2.668248</v>
      </c>
      <c r="F18" s="20" t="n">
        <f aca="false">C18-D18</f>
        <v>-3.9</v>
      </c>
      <c r="G18" s="19" t="n">
        <v>6.14</v>
      </c>
      <c r="H18" s="19" t="n">
        <v>145.41</v>
      </c>
      <c r="I18" s="19" t="n">
        <v>257.096001</v>
      </c>
      <c r="J18" s="21" t="s">
        <v>64</v>
      </c>
    </row>
    <row r="19" customFormat="false" ht="15" hidden="false" customHeight="false" outlineLevel="0" collapsed="false">
      <c r="A19" s="17" t="n">
        <v>2017</v>
      </c>
      <c r="B19" s="18" t="n">
        <v>6.94019</v>
      </c>
      <c r="C19" s="19" t="n">
        <v>24.6</v>
      </c>
      <c r="D19" s="19" t="n">
        <v>27.1</v>
      </c>
      <c r="E19" s="18" t="n">
        <v>3.520257</v>
      </c>
      <c r="F19" s="20" t="n">
        <f aca="false">C19-D19</f>
        <v>-2.5</v>
      </c>
      <c r="G19" s="19" t="n">
        <v>6.3</v>
      </c>
      <c r="H19" s="19" t="n">
        <v>160.98</v>
      </c>
      <c r="I19" s="19" t="n">
        <v>281.353606</v>
      </c>
      <c r="J19" s="21" t="s">
        <v>64</v>
      </c>
    </row>
    <row r="20" customFormat="false" ht="15" hidden="false" customHeight="false" outlineLevel="0" collapsed="false">
      <c r="A20" s="17" t="n">
        <v>2018</v>
      </c>
      <c r="B20" s="18" t="n">
        <v>7.465007</v>
      </c>
      <c r="C20" s="19" t="n">
        <v>24.6</v>
      </c>
      <c r="D20" s="19" t="n">
        <v>25.9</v>
      </c>
      <c r="E20" s="18" t="n">
        <v>3.539628</v>
      </c>
      <c r="F20" s="20" t="n">
        <f aca="false">C20-D20</f>
        <v>-1.3</v>
      </c>
      <c r="G20" s="19" t="n">
        <v>6.32</v>
      </c>
      <c r="H20" s="19" t="n">
        <v>164.66</v>
      </c>
      <c r="I20" s="19" t="n">
        <v>310.106478</v>
      </c>
      <c r="J20" s="21" t="s">
        <v>64</v>
      </c>
    </row>
    <row r="21" customFormat="false" ht="15" hidden="false" customHeight="false" outlineLevel="0" collapsed="false">
      <c r="A21" s="17" t="n">
        <v>2019</v>
      </c>
      <c r="B21" s="18" t="n">
        <v>7.359263</v>
      </c>
      <c r="C21" s="19" t="n">
        <v>24.8</v>
      </c>
      <c r="D21" s="19" t="n">
        <v>29</v>
      </c>
      <c r="E21" s="18" t="n">
        <v>2.795824</v>
      </c>
      <c r="F21" s="20" t="n">
        <f aca="false">C21-D21</f>
        <v>-4.2</v>
      </c>
      <c r="G21" s="19" t="n">
        <v>6.15</v>
      </c>
      <c r="H21" s="19" t="n">
        <v>164.7</v>
      </c>
      <c r="I21" s="19" t="n">
        <v>334.36527</v>
      </c>
      <c r="J21" s="21" t="s">
        <v>64</v>
      </c>
    </row>
    <row r="22" customFormat="false" ht="26.85" hidden="false" customHeight="false" outlineLevel="0" collapsed="false">
      <c r="A22" s="17" t="n">
        <v>2020</v>
      </c>
      <c r="B22" s="18" t="n">
        <v>2.865413</v>
      </c>
      <c r="C22" s="19" t="n">
        <v>23.9</v>
      </c>
      <c r="D22" s="19" t="n">
        <v>28.3</v>
      </c>
      <c r="E22" s="18" t="n">
        <v>3.220934</v>
      </c>
      <c r="F22" s="20" t="n">
        <f aca="false">C22-D22</f>
        <v>-4.4</v>
      </c>
      <c r="G22" s="19" t="n">
        <v>5.83</v>
      </c>
      <c r="H22" s="19" t="n">
        <v>163.25</v>
      </c>
      <c r="I22" s="19" t="n">
        <v>346.615739</v>
      </c>
      <c r="J22" s="21" t="s">
        <v>68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" t="s">
        <v>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4" t="s">
        <v>71</v>
      </c>
      <c r="B4" s="14" t="s">
        <v>72</v>
      </c>
      <c r="C4" s="14" t="s">
        <v>73</v>
      </c>
      <c r="D4" s="14" t="s">
        <v>74</v>
      </c>
      <c r="E4" s="14" t="s">
        <v>75</v>
      </c>
      <c r="F4" s="14" t="s">
        <v>76</v>
      </c>
    </row>
    <row r="5" customFormat="false" ht="37.5" hidden="false" customHeight="true" outlineLevel="0" collapsed="false">
      <c r="A5" s="22" t="s">
        <v>41</v>
      </c>
      <c r="B5" s="23" t="s">
        <v>51</v>
      </c>
      <c r="C5" s="23" t="s">
        <v>61</v>
      </c>
      <c r="D5" s="23" t="s">
        <v>77</v>
      </c>
      <c r="E5" s="23" t="s">
        <v>78</v>
      </c>
      <c r="F5" s="23" t="s">
        <v>79</v>
      </c>
    </row>
    <row r="6" customFormat="false" ht="37.5" hidden="false" customHeight="true" outlineLevel="0" collapsed="false">
      <c r="A6" s="22" t="s">
        <v>42</v>
      </c>
      <c r="B6" s="23" t="s">
        <v>80</v>
      </c>
      <c r="C6" s="23" t="s">
        <v>26</v>
      </c>
      <c r="D6" s="23" t="s">
        <v>81</v>
      </c>
      <c r="E6" s="23" t="s">
        <v>82</v>
      </c>
      <c r="F6" s="23" t="s">
        <v>83</v>
      </c>
    </row>
    <row r="7" customFormat="false" ht="37.5" hidden="false" customHeight="true" outlineLevel="0" collapsed="false">
      <c r="A7" s="22" t="s">
        <v>46</v>
      </c>
      <c r="B7" s="23" t="s">
        <v>84</v>
      </c>
      <c r="C7" s="23" t="s">
        <v>27</v>
      </c>
      <c r="D7" s="23" t="s">
        <v>85</v>
      </c>
      <c r="E7" s="23" t="s">
        <v>86</v>
      </c>
      <c r="F7" s="23" t="s">
        <v>87</v>
      </c>
    </row>
    <row r="8" customFormat="false" ht="37.5" hidden="false" customHeight="true" outlineLevel="0" collapsed="false">
      <c r="A8" s="22" t="s">
        <v>45</v>
      </c>
      <c r="B8" s="23" t="s">
        <v>88</v>
      </c>
      <c r="C8" s="23" t="s">
        <v>26</v>
      </c>
      <c r="D8" s="23" t="s">
        <v>89</v>
      </c>
      <c r="E8" s="23" t="s">
        <v>90</v>
      </c>
      <c r="F8" s="23" t="s">
        <v>91</v>
      </c>
    </row>
    <row r="9" customFormat="false" ht="37.5" hidden="false" customHeight="true" outlineLevel="0" collapsed="false">
      <c r="A9" s="22" t="s">
        <v>47</v>
      </c>
      <c r="B9" s="23" t="s">
        <v>92</v>
      </c>
      <c r="C9" s="23" t="s">
        <v>27</v>
      </c>
      <c r="D9" s="23" t="s">
        <v>93</v>
      </c>
      <c r="E9" s="23" t="s">
        <v>94</v>
      </c>
      <c r="F9" s="23" t="s">
        <v>95</v>
      </c>
    </row>
    <row r="10" customFormat="false" ht="37.5" hidden="false" customHeight="true" outlineLevel="0" collapsed="false">
      <c r="A10" s="22" t="s">
        <v>48</v>
      </c>
      <c r="B10" s="23" t="s">
        <v>96</v>
      </c>
      <c r="C10" s="23" t="s">
        <v>27</v>
      </c>
      <c r="D10" s="23" t="s">
        <v>97</v>
      </c>
      <c r="E10" s="23" t="s">
        <v>98</v>
      </c>
      <c r="F10" s="23" t="s">
        <v>99</v>
      </c>
    </row>
    <row r="11" customFormat="false" ht="37.5" hidden="false" customHeight="true" outlineLevel="0" collapsed="false">
      <c r="A11" s="22" t="s">
        <v>43</v>
      </c>
      <c r="B11" s="23" t="s">
        <v>100</v>
      </c>
      <c r="C11" s="23" t="s">
        <v>27</v>
      </c>
      <c r="D11" s="23" t="s">
        <v>101</v>
      </c>
      <c r="E11" s="23" t="s">
        <v>102</v>
      </c>
      <c r="F11" s="23" t="s">
        <v>103</v>
      </c>
    </row>
    <row r="12" customFormat="false" ht="37.5" hidden="false" customHeight="true" outlineLevel="0" collapsed="false">
      <c r="A12" s="22" t="s">
        <v>44</v>
      </c>
      <c r="B12" s="23" t="s">
        <v>104</v>
      </c>
      <c r="C12" s="23" t="s">
        <v>27</v>
      </c>
      <c r="D12" s="23" t="s">
        <v>101</v>
      </c>
      <c r="E12" s="23" t="s">
        <v>102</v>
      </c>
      <c r="F12" s="23" t="s">
        <v>103</v>
      </c>
    </row>
    <row r="13" customFormat="false" ht="37.5" hidden="false" customHeight="true" outlineLevel="0" collapsed="false">
      <c r="A13" s="22" t="s">
        <v>49</v>
      </c>
      <c r="B13" s="23" t="s">
        <v>105</v>
      </c>
      <c r="C13" s="23" t="s">
        <v>62</v>
      </c>
      <c r="D13" s="23" t="s">
        <v>106</v>
      </c>
      <c r="E13" s="23" t="s">
        <v>107</v>
      </c>
      <c r="F13" s="23" t="s">
        <v>108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110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4" t="s">
        <v>71</v>
      </c>
      <c r="B4" s="14" t="s">
        <v>111</v>
      </c>
      <c r="C4" s="14" t="s">
        <v>112</v>
      </c>
      <c r="D4" s="14" t="s">
        <v>113</v>
      </c>
      <c r="E4" s="14" t="s">
        <v>114</v>
      </c>
      <c r="F4" s="14" t="s">
        <v>115</v>
      </c>
      <c r="G4" s="14" t="s">
        <v>116</v>
      </c>
      <c r="H4" s="14" t="s">
        <v>73</v>
      </c>
    </row>
    <row r="5" customFormat="false" ht="15" hidden="false" customHeight="false" outlineLevel="0" collapsed="false">
      <c r="A5" s="22" t="s">
        <v>42</v>
      </c>
      <c r="B5" s="21" t="s">
        <v>80</v>
      </c>
      <c r="C5" s="24" t="n">
        <f aca="false">COUNT(Data_2005_2020!$B$7:$B$22)</f>
        <v>16</v>
      </c>
      <c r="D5" s="25" t="n">
        <f aca="false">AVERAGE(Data_2005_2020!$B$7:$B$22)</f>
        <v>6.3336345625</v>
      </c>
      <c r="E5" s="25" t="n">
        <f aca="false">STDEV(Data_2005_2020!$B$7:$B$22)</f>
        <v>1.16759428607817</v>
      </c>
      <c r="F5" s="25" t="n">
        <f aca="false">MIN(Data_2005_2020!$B$7:$B$22)</f>
        <v>2.865413</v>
      </c>
      <c r="G5" s="25" t="n">
        <f aca="false">MAX(Data_2005_2020!$B$7:$B$22)</f>
        <v>7.547256</v>
      </c>
      <c r="H5" s="21" t="s">
        <v>26</v>
      </c>
    </row>
    <row r="6" customFormat="false" ht="15" hidden="false" customHeight="false" outlineLevel="0" collapsed="false">
      <c r="A6" s="22" t="s">
        <v>46</v>
      </c>
      <c r="B6" s="21" t="s">
        <v>84</v>
      </c>
      <c r="C6" s="24" t="n">
        <f aca="false">COUNT(Data_2005_2020!$F$7:$F$22)</f>
        <v>16</v>
      </c>
      <c r="D6" s="25" t="n">
        <f aca="false">AVERAGE(Data_2005_2020!$F$7:$F$22)</f>
        <v>-3.533125</v>
      </c>
      <c r="E6" s="25" t="n">
        <f aca="false">STDEV(Data_2005_2020!$F$7:$F$22)</f>
        <v>2.46363611693502</v>
      </c>
      <c r="F6" s="25" t="n">
        <f aca="false">MIN(Data_2005_2020!$F$7:$F$22)</f>
        <v>-7.4</v>
      </c>
      <c r="G6" s="25" t="n">
        <f aca="false">MAX(Data_2005_2020!$F$7:$F$22)</f>
        <v>0.300000000000001</v>
      </c>
      <c r="H6" s="21" t="s">
        <v>27</v>
      </c>
    </row>
    <row r="7" customFormat="false" ht="15" hidden="false" customHeight="false" outlineLevel="0" collapsed="false">
      <c r="A7" s="22" t="s">
        <v>45</v>
      </c>
      <c r="B7" s="21" t="s">
        <v>88</v>
      </c>
      <c r="C7" s="24" t="n">
        <f aca="false">COUNT(Data_2005_2020!$E$7:$E$22)</f>
        <v>16</v>
      </c>
      <c r="D7" s="25" t="n">
        <f aca="false">AVERAGE(Data_2005_2020!$E$7:$E$22)</f>
        <v>7.3695431875</v>
      </c>
      <c r="E7" s="25" t="n">
        <f aca="false">STDEV(Data_2005_2020!$E$7:$E$22)</f>
        <v>5.94920679709278</v>
      </c>
      <c r="F7" s="25" t="n">
        <f aca="false">MIN(Data_2005_2020!$E$7:$E$22)</f>
        <v>0.631201</v>
      </c>
      <c r="G7" s="25" t="n">
        <f aca="false">MAX(Data_2005_2020!$E$7:$E$22)</f>
        <v>23.115448</v>
      </c>
      <c r="H7" s="21" t="s">
        <v>26</v>
      </c>
    </row>
    <row r="8" customFormat="false" ht="15" hidden="false" customHeight="false" outlineLevel="0" collapsed="false">
      <c r="A8" s="22" t="s">
        <v>47</v>
      </c>
      <c r="B8" s="21" t="s">
        <v>117</v>
      </c>
      <c r="C8" s="24" t="n">
        <f aca="false">COUNT(Data_2005_2020!$G$7:$G$22)</f>
        <v>16</v>
      </c>
      <c r="D8" s="25" t="n">
        <f aca="false">AVERAGE(Data_2005_2020!$G$7:$G$22)</f>
        <v>6.076875</v>
      </c>
      <c r="E8" s="25" t="n">
        <f aca="false">STDEV(Data_2005_2020!$G$7:$G$22)</f>
        <v>1.58504140324472</v>
      </c>
      <c r="F8" s="25" t="n">
        <f aca="false">MIN(Data_2005_2020!$G$7:$G$22)</f>
        <v>3.39</v>
      </c>
      <c r="G8" s="25" t="n">
        <f aca="false">MAX(Data_2005_2020!$G$7:$G$22)</f>
        <v>9.66</v>
      </c>
      <c r="H8" s="21" t="s">
        <v>27</v>
      </c>
    </row>
    <row r="9" customFormat="false" ht="15" hidden="false" customHeight="false" outlineLevel="0" collapsed="false">
      <c r="A9" s="22" t="s">
        <v>48</v>
      </c>
      <c r="B9" s="21" t="s">
        <v>118</v>
      </c>
      <c r="C9" s="24" t="n">
        <f aca="false">COUNT(Data_2005_2020!$H$7:$H$22)</f>
        <v>16</v>
      </c>
      <c r="D9" s="25" t="n">
        <f aca="false">AVERAGE(Data_2005_2020!$H$7:$H$22)</f>
        <v>142.830625</v>
      </c>
      <c r="E9" s="25" t="n">
        <f aca="false">STDEV(Data_2005_2020!$H$7:$H$22)</f>
        <v>16.2078818146193</v>
      </c>
      <c r="F9" s="25" t="n">
        <f aca="false">MIN(Data_2005_2020!$H$7:$H$22)</f>
        <v>113.98</v>
      </c>
      <c r="G9" s="25" t="n">
        <f aca="false">MAX(Data_2005_2020!$H$7:$H$22)</f>
        <v>164.7</v>
      </c>
      <c r="H9" s="21" t="s">
        <v>27</v>
      </c>
    </row>
    <row r="10" customFormat="false" ht="15" hidden="false" customHeight="false" outlineLevel="0" collapsed="false">
      <c r="A10" s="22" t="s">
        <v>43</v>
      </c>
      <c r="B10" s="21" t="s">
        <v>100</v>
      </c>
      <c r="C10" s="24" t="n">
        <f aca="false">COUNT(Data_2005_2020!$C$7:$C$22)</f>
        <v>16</v>
      </c>
      <c r="D10" s="25" t="n">
        <f aca="false">AVERAGE(Data_2005_2020!$C$7:$C$22)</f>
        <v>25.346875</v>
      </c>
      <c r="E10" s="25" t="n">
        <f aca="false">STDEV(Data_2005_2020!$C$7:$C$22)</f>
        <v>2.18497206313185</v>
      </c>
      <c r="F10" s="25" t="n">
        <f aca="false">MIN(Data_2005_2020!$C$7:$C$22)</f>
        <v>22.2</v>
      </c>
      <c r="G10" s="25" t="n">
        <f aca="false">MAX(Data_2005_2020!$C$7:$C$22)</f>
        <v>28.91</v>
      </c>
      <c r="H10" s="21" t="s">
        <v>27</v>
      </c>
    </row>
    <row r="11" customFormat="false" ht="26.85" hidden="false" customHeight="false" outlineLevel="0" collapsed="false">
      <c r="A11" s="22" t="s">
        <v>44</v>
      </c>
      <c r="B11" s="21" t="s">
        <v>104</v>
      </c>
      <c r="C11" s="24" t="n">
        <f aca="false">COUNT(Data_2005_2020!$D$7:$D$22)</f>
        <v>16</v>
      </c>
      <c r="D11" s="25" t="n">
        <f aca="false">AVERAGE(Data_2005_2020!$D$7:$D$22)</f>
        <v>28.88</v>
      </c>
      <c r="E11" s="25" t="n">
        <f aca="false">STDEV(Data_2005_2020!$D$7:$D$22)</f>
        <v>1.49913752982618</v>
      </c>
      <c r="F11" s="25" t="n">
        <f aca="false">MIN(Data_2005_2020!$D$7:$D$22)</f>
        <v>25.9</v>
      </c>
      <c r="G11" s="25" t="n">
        <f aca="false">MAX(Data_2005_2020!$D$7:$D$22)</f>
        <v>31.6</v>
      </c>
      <c r="H11" s="21" t="s">
        <v>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120</v>
      </c>
      <c r="B2" s="2"/>
      <c r="C2" s="2"/>
      <c r="D2" s="2"/>
      <c r="E2" s="2"/>
      <c r="F2" s="2"/>
    </row>
    <row r="4" customFormat="false" ht="21.75" hidden="false" customHeight="true" outlineLevel="0" collapsed="false">
      <c r="B4" s="14" t="s">
        <v>42</v>
      </c>
      <c r="C4" s="14" t="s">
        <v>46</v>
      </c>
      <c r="D4" s="14" t="s">
        <v>45</v>
      </c>
      <c r="E4" s="14" t="s">
        <v>47</v>
      </c>
      <c r="F4" s="14" t="s">
        <v>48</v>
      </c>
    </row>
    <row r="5" customFormat="false" ht="15" hidden="false" customHeight="false" outlineLevel="0" collapsed="false">
      <c r="A5" s="14" t="s">
        <v>42</v>
      </c>
      <c r="B5" s="26" t="n">
        <v>1</v>
      </c>
      <c r="C5" s="25" t="n">
        <f aca="false">CORREL(Data_2005_2020!$B$7:$B$22,Data_2005_2020!$F$7:$F$22)</f>
        <v>0.371763141487074</v>
      </c>
      <c r="D5" s="25" t="n">
        <f aca="false">CORREL(Data_2005_2020!$B$7:$B$22,Data_2005_2020!$E$7:$E$22)</f>
        <v>-0.10702508438724</v>
      </c>
      <c r="E5" s="25" t="n">
        <f aca="false">CORREL(Data_2005_2020!$B$7:$B$22,Data_2005_2020!$G$7:$G$22)</f>
        <v>-0.131296368618481</v>
      </c>
      <c r="F5" s="25" t="n">
        <f aca="false">CORREL(Data_2005_2020!$B$7:$B$22,Data_2005_2020!$H$7:$H$22)</f>
        <v>0.00771894765479842</v>
      </c>
    </row>
    <row r="6" customFormat="false" ht="15" hidden="false" customHeight="false" outlineLevel="0" collapsed="false">
      <c r="A6" s="14" t="s">
        <v>46</v>
      </c>
      <c r="B6" s="25" t="n">
        <f aca="false">CORREL(Data_2005_2020!$F$7:$F$22,Data_2005_2020!$B$7:$B$22)</f>
        <v>0.371763141487074</v>
      </c>
      <c r="C6" s="26" t="n">
        <v>1</v>
      </c>
      <c r="D6" s="25" t="n">
        <f aca="false">CORREL(Data_2005_2020!$F$7:$F$22,Data_2005_2020!$E$7:$E$22)</f>
        <v>0.45825260333984</v>
      </c>
      <c r="E6" s="25" t="n">
        <f aca="false">CORREL(Data_2005_2020!$F$7:$F$22,Data_2005_2020!$G$7:$G$22)</f>
        <v>0.0870591401170626</v>
      </c>
      <c r="F6" s="25" t="n">
        <f aca="false">CORREL(Data_2005_2020!$F$7:$F$22,Data_2005_2020!$H$7:$H$22)</f>
        <v>0.202209786276774</v>
      </c>
    </row>
    <row r="7" customFormat="false" ht="15" hidden="false" customHeight="false" outlineLevel="0" collapsed="false">
      <c r="A7" s="14" t="s">
        <v>45</v>
      </c>
      <c r="B7" s="25" t="n">
        <f aca="false">CORREL(Data_2005_2020!$E$7:$E$22,Data_2005_2020!$B$7:$B$22)</f>
        <v>-0.10702508438724</v>
      </c>
      <c r="C7" s="25" t="n">
        <f aca="false">CORREL(Data_2005_2020!$E$7:$E$22,Data_2005_2020!$F$7:$F$22)</f>
        <v>0.45825260333984</v>
      </c>
      <c r="D7" s="26" t="n">
        <v>1</v>
      </c>
      <c r="E7" s="25" t="n">
        <f aca="false">CORREL(Data_2005_2020!$E$7:$E$22,Data_2005_2020!$G$7:$G$22)</f>
        <v>0.367464931843717</v>
      </c>
      <c r="F7" s="25" t="n">
        <f aca="false">CORREL(Data_2005_2020!$E$7:$E$22,Data_2005_2020!$H$7:$H$22)</f>
        <v>-0.297174840547175</v>
      </c>
    </row>
    <row r="8" customFormat="false" ht="15" hidden="false" customHeight="false" outlineLevel="0" collapsed="false">
      <c r="A8" s="14" t="s">
        <v>47</v>
      </c>
      <c r="B8" s="25" t="n">
        <f aca="false">CORREL(Data_2005_2020!$G$7:$G$22,Data_2005_2020!$B$7:$B$22)</f>
        <v>-0.131296368618481</v>
      </c>
      <c r="C8" s="25" t="n">
        <f aca="false">CORREL(Data_2005_2020!$G$7:$G$22,Data_2005_2020!$F$7:$F$22)</f>
        <v>0.0870591401170626</v>
      </c>
      <c r="D8" s="25" t="n">
        <f aca="false">CORREL(Data_2005_2020!$G$7:$G$22,Data_2005_2020!$E$7:$E$22)</f>
        <v>0.367464931843717</v>
      </c>
      <c r="E8" s="26" t="n">
        <v>1</v>
      </c>
      <c r="F8" s="25" t="n">
        <f aca="false">CORREL(Data_2005_2020!$G$7:$G$22,Data_2005_2020!$H$7:$H$22)</f>
        <v>0.342451771583066</v>
      </c>
    </row>
    <row r="9" customFormat="false" ht="15" hidden="false" customHeight="false" outlineLevel="0" collapsed="false">
      <c r="A9" s="14" t="s">
        <v>48</v>
      </c>
      <c r="B9" s="25" t="n">
        <f aca="false">CORREL(Data_2005_2020!$H$7:$H$22,Data_2005_2020!$B$7:$B$22)</f>
        <v>0.00771894765479842</v>
      </c>
      <c r="C9" s="25" t="n">
        <f aca="false">CORREL(Data_2005_2020!$H$7:$H$22,Data_2005_2020!$F$7:$F$22)</f>
        <v>0.202209786276774</v>
      </c>
      <c r="D9" s="25" t="n">
        <f aca="false">CORREL(Data_2005_2020!$H$7:$H$22,Data_2005_2020!$E$7:$E$22)</f>
        <v>-0.297174840547175</v>
      </c>
      <c r="E9" s="25" t="n">
        <f aca="false">CORREL(Data_2005_2020!$H$7:$H$22,Data_2005_2020!$G$7:$G$22)</f>
        <v>0.342451771583066</v>
      </c>
      <c r="F9" s="26" t="n">
        <v>1</v>
      </c>
    </row>
    <row r="11" customFormat="false" ht="15" hidden="false" customHeight="false" outlineLevel="0" collapsed="false">
      <c r="A11" s="6" t="s">
        <v>121</v>
      </c>
      <c r="B11" s="2" t="s">
        <v>122</v>
      </c>
      <c r="C11" s="2"/>
      <c r="D11" s="2"/>
      <c r="E11" s="2"/>
    </row>
  </sheetData>
  <mergeCells count="3">
    <mergeCell ref="A1:F1"/>
    <mergeCell ref="A2:F2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7" t="s">
        <v>124</v>
      </c>
      <c r="B2" s="27"/>
      <c r="C2" s="27"/>
      <c r="D2" s="27"/>
      <c r="E2" s="27"/>
      <c r="F2" s="27"/>
      <c r="G2" s="27"/>
      <c r="H2" s="27"/>
      <c r="I2" s="27"/>
      <c r="J2" s="27"/>
    </row>
    <row r="4" customFormat="false" ht="21.75" hidden="false" customHeight="true" outlineLevel="0" collapsed="false">
      <c r="A4" s="28" t="s">
        <v>125</v>
      </c>
      <c r="B4" s="28"/>
      <c r="C4" s="28"/>
      <c r="D4" s="28"/>
      <c r="E4" s="28"/>
      <c r="F4" s="28"/>
      <c r="G4" s="28"/>
      <c r="H4" s="28"/>
      <c r="I4" s="28"/>
      <c r="J4" s="28"/>
    </row>
    <row r="6" customFormat="false" ht="30" hidden="false" customHeight="true" outlineLevel="0" collapsed="false">
      <c r="A6" s="14" t="s">
        <v>71</v>
      </c>
      <c r="B6" s="14" t="s">
        <v>126</v>
      </c>
      <c r="C6" s="14" t="s">
        <v>127</v>
      </c>
      <c r="D6" s="14" t="s">
        <v>128</v>
      </c>
      <c r="E6" s="14" t="s">
        <v>129</v>
      </c>
      <c r="F6" s="14" t="s">
        <v>130</v>
      </c>
      <c r="G6" s="14" t="s">
        <v>131</v>
      </c>
      <c r="I6" s="14" t="s">
        <v>132</v>
      </c>
      <c r="J6" s="14" t="s">
        <v>133</v>
      </c>
    </row>
    <row r="7" customFormat="false" ht="15" hidden="false" customHeight="false" outlineLevel="0" collapsed="false">
      <c r="A7" s="22" t="s">
        <v>134</v>
      </c>
      <c r="B7" s="29" t="n">
        <f aca="false">INDEX(LINEST(Data_2005_2020!$B$7:$B$22,Data_2005_2020!$E$7:$H$22,TRUE(),TRUE()),1,5)</f>
        <v>11.4085904306596</v>
      </c>
      <c r="C7" s="29" t="n">
        <f aca="false">INDEX(LINEST(Data_2005_2020!$B$7:$B$22,Data_2005_2020!$E$7:$H$22,TRUE(),TRUE()),2,5)</f>
        <v>3.69231640697992</v>
      </c>
      <c r="D7" s="29" t="n">
        <f aca="false">B7/C7</f>
        <v>3.08981928230552</v>
      </c>
      <c r="E7" s="29" t="n">
        <f aca="false">TDIST(ABS(D7),16-4-1,2)</f>
        <v>0.0102893836116188</v>
      </c>
      <c r="F7" s="30" t="str">
        <f aca="false">IF(E7&lt;0.01,"***",IF(E7&lt;0.05,"**",IF(E7&lt;0.1,"*","")))</f>
        <v>**</v>
      </c>
      <c r="G7" s="23" t="s">
        <v>135</v>
      </c>
      <c r="I7" s="22" t="s">
        <v>136</v>
      </c>
      <c r="J7" s="31" t="n">
        <f aca="false">COUNT(Data_2005_2020!$B$7:$B$22)</f>
        <v>16</v>
      </c>
    </row>
    <row r="8" customFormat="false" ht="39.55" hidden="false" customHeight="false" outlineLevel="0" collapsed="false">
      <c r="A8" s="22" t="s">
        <v>137</v>
      </c>
      <c r="B8" s="29" t="n">
        <f aca="false">INDEX(LINEST(Data_2005_2020!$B$7:$B$22,Data_2005_2020!$E$7:$H$22,TRUE(),TRUE()),1,3)</f>
        <v>0.332802401967502</v>
      </c>
      <c r="C8" s="29" t="n">
        <f aca="false">INDEX(LINEST(Data_2005_2020!$B$7:$B$22,Data_2005_2020!$E$7:$H$22,TRUE(),TRUE()),2,3)</f>
        <v>0.158439738977317</v>
      </c>
      <c r="D8" s="29" t="n">
        <f aca="false">B8/C8</f>
        <v>2.10049829743249</v>
      </c>
      <c r="E8" s="29" t="n">
        <f aca="false">TDIST(ABS(D8),16-4-1,2)</f>
        <v>0.0595489229141091</v>
      </c>
      <c r="F8" s="30" t="str">
        <f aca="false">IF(E8&lt;0.01,"***",IF(E8&lt;0.05,"**",IF(E8&lt;0.1,"*","")))</f>
        <v>*</v>
      </c>
      <c r="G8" s="23" t="s">
        <v>138</v>
      </c>
      <c r="I8" s="22" t="s">
        <v>139</v>
      </c>
      <c r="J8" s="31" t="n">
        <v>4</v>
      </c>
    </row>
    <row r="9" customFormat="false" ht="26.85" hidden="false" customHeight="false" outlineLevel="0" collapsed="false">
      <c r="A9" s="22" t="s">
        <v>140</v>
      </c>
      <c r="B9" s="29" t="n">
        <f aca="false">INDEX(LINEST(Data_2005_2020!$B$7:$B$22,Data_2005_2020!$E$7:$H$22,TRUE(),TRUE()),1,4)</f>
        <v>-0.115835963816133</v>
      </c>
      <c r="C9" s="29" t="n">
        <f aca="false">INDEX(LINEST(Data_2005_2020!$B$7:$B$22,Data_2005_2020!$E$7:$H$22,TRUE(),TRUE()),2,4)</f>
        <v>0.0789444823398575</v>
      </c>
      <c r="D9" s="29" t="n">
        <f aca="false">B9/C9</f>
        <v>-1.46730918213456</v>
      </c>
      <c r="E9" s="29" t="n">
        <f aca="false">TDIST(ABS(D9),16-4-1,2)</f>
        <v>0.170292986610278</v>
      </c>
      <c r="F9" s="30" t="str">
        <f aca="false">IF(E9&lt;0.01,"***",IF(E9&lt;0.05,"**",IF(E9&lt;0.1,"*","")))</f>
        <v/>
      </c>
      <c r="G9" s="23" t="s">
        <v>141</v>
      </c>
      <c r="I9" s="22" t="s">
        <v>142</v>
      </c>
      <c r="J9" s="31" t="n">
        <f aca="false">16-4-1</f>
        <v>11</v>
      </c>
    </row>
    <row r="10" customFormat="false" ht="26.85" hidden="false" customHeight="false" outlineLevel="0" collapsed="false">
      <c r="A10" s="22" t="s">
        <v>143</v>
      </c>
      <c r="B10" s="29" t="n">
        <f aca="false">INDEX(LINEST(Data_2005_2020!$B$7:$B$22,Data_2005_2020!$E$7:$H$22,TRUE(),TRUE()),1,2)</f>
        <v>0.108902656921836</v>
      </c>
      <c r="C10" s="29" t="n">
        <f aca="false">INDEX(LINEST(Data_2005_2020!$B$7:$B$22,Data_2005_2020!$E$7:$H$22,TRUE(),TRUE()),2,2)</f>
        <v>0.250676147898798</v>
      </c>
      <c r="D10" s="29" t="n">
        <f aca="false">B10/C10</f>
        <v>0.434435656661685</v>
      </c>
      <c r="E10" s="29" t="n">
        <f aca="false">TDIST(ABS(D10),16-4-1,2)</f>
        <v>0.672371200531229</v>
      </c>
      <c r="F10" s="30" t="str">
        <f aca="false">IF(E10&lt;0.01,"***",IF(E10&lt;0.05,"**",IF(E10&lt;0.1,"*","")))</f>
        <v/>
      </c>
      <c r="G10" s="23" t="s">
        <v>144</v>
      </c>
      <c r="I10" s="22" t="s">
        <v>145</v>
      </c>
      <c r="J10" s="29" t="n">
        <f aca="false">INDEX(LINEST(Data_2005_2020!$B$7:$B$22,Data_2005_2020!$E$7:$H$22,TRUE(),TRUE()),3,1)</f>
        <v>0.302034294655687</v>
      </c>
    </row>
    <row r="11" customFormat="false" ht="26.85" hidden="false" customHeight="false" outlineLevel="0" collapsed="false">
      <c r="A11" s="22" t="s">
        <v>146</v>
      </c>
      <c r="B11" s="29" t="n">
        <f aca="false">INDEX(LINEST(Data_2005_2020!$B$7:$B$22,Data_2005_2020!$E$7:$H$22,TRUE(),TRUE()),1,1)</f>
        <v>-0.0259555895451791</v>
      </c>
      <c r="C11" s="29" t="n">
        <f aca="false">INDEX(LINEST(Data_2005_2020!$B$7:$B$22,Data_2005_2020!$E$7:$H$22,TRUE(),TRUE()),2,1)</f>
        <v>0.025911419133382</v>
      </c>
      <c r="D11" s="29" t="n">
        <f aca="false">B11/C11</f>
        <v>-1.00170466972765</v>
      </c>
      <c r="E11" s="29" t="n">
        <f aca="false">TDIST(ABS(D11),16-4-1,2)</f>
        <v>0.338012522761709</v>
      </c>
      <c r="F11" s="30" t="str">
        <f aca="false">IF(E11&lt;0.01,"***",IF(E11&lt;0.05,"**",IF(E11&lt;0.1,"*","")))</f>
        <v/>
      </c>
      <c r="G11" s="23" t="s">
        <v>147</v>
      </c>
      <c r="I11" s="22" t="s">
        <v>148</v>
      </c>
      <c r="J11" s="29" t="n">
        <f aca="false">1-(1-J10)*(COUNT(Data_2005_2020!$B$7:$B$22)-1)/(16-4-1)</f>
        <v>0.0482285836213915</v>
      </c>
    </row>
    <row r="12" customFormat="false" ht="15" hidden="false" customHeight="false" outlineLevel="0" collapsed="false">
      <c r="I12" s="22" t="s">
        <v>149</v>
      </c>
      <c r="J12" s="29" t="n">
        <f aca="false">INDEX(LINEST(Data_2005_2020!$B$7:$B$22,Data_2005_2020!$E$7:$H$22,TRUE(),TRUE()),3,2)</f>
        <v>1.13909065759127</v>
      </c>
    </row>
    <row r="13" customFormat="false" ht="15" hidden="false" customHeight="false" outlineLevel="0" collapsed="false">
      <c r="A13" s="6" t="s">
        <v>150</v>
      </c>
      <c r="B13" s="2" t="s">
        <v>151</v>
      </c>
      <c r="C13" s="2"/>
      <c r="D13" s="2"/>
      <c r="E13" s="2"/>
      <c r="F13" s="2"/>
      <c r="G13" s="2"/>
      <c r="I13" s="22" t="s">
        <v>152</v>
      </c>
      <c r="J13" s="29" t="n">
        <f aca="false">INDEX(LINEST(Data_2005_2020!$B$7:$B$22,Data_2005_2020!$E$7:$H$22,TRUE(),TRUE()),4,1)</f>
        <v>1.19002166430713</v>
      </c>
    </row>
    <row r="14" customFormat="false" ht="15" hidden="false" customHeight="false" outlineLevel="0" collapsed="false">
      <c r="I14" s="22" t="s">
        <v>153</v>
      </c>
      <c r="J14" s="29" t="n">
        <f aca="false">FDIST(J13,4,16-4-1)</f>
        <v>0.368267267844313</v>
      </c>
    </row>
    <row r="15" customFormat="false" ht="15" hidden="false" customHeight="false" outlineLevel="0" collapsed="false">
      <c r="I15" s="22" t="s">
        <v>154</v>
      </c>
      <c r="J15" s="25" t="n">
        <f aca="false">INDEX(LINEST(Data_2005_2020!$B$7:$B$22,Data_2005_2020!$E$7:$H$22,TRUE(),TRUE()),5,1)</f>
        <v>6.1763434649071</v>
      </c>
    </row>
    <row r="16" customFormat="false" ht="21.75" hidden="false" customHeight="true" outlineLevel="0" collapsed="false">
      <c r="A16" s="32" t="s">
        <v>155</v>
      </c>
      <c r="B16" s="32"/>
      <c r="C16" s="32"/>
      <c r="D16" s="32"/>
      <c r="E16" s="32"/>
      <c r="F16" s="32"/>
      <c r="G16" s="32"/>
      <c r="H16" s="32"/>
      <c r="I16" s="32"/>
      <c r="J16" s="32"/>
    </row>
    <row r="18" customFormat="false" ht="24" hidden="false" customHeight="true" outlineLevel="0" collapsed="false">
      <c r="A18" s="14" t="s">
        <v>132</v>
      </c>
      <c r="B18" s="14" t="s">
        <v>156</v>
      </c>
      <c r="C18" s="14" t="s">
        <v>157</v>
      </c>
      <c r="D18" s="14" t="s">
        <v>158</v>
      </c>
      <c r="E18" s="14" t="s">
        <v>159</v>
      </c>
    </row>
    <row r="19" customFormat="false" ht="31.5" hidden="false" customHeight="true" outlineLevel="0" collapsed="false">
      <c r="A19" s="22" t="s">
        <v>139</v>
      </c>
      <c r="B19" s="31" t="s">
        <v>160</v>
      </c>
      <c r="C19" s="31" t="s">
        <v>161</v>
      </c>
      <c r="D19" s="33" t="n">
        <f aca="false">C19-B19</f>
        <v>1</v>
      </c>
      <c r="E19" s="23" t="s">
        <v>162</v>
      </c>
    </row>
    <row r="20" customFormat="false" ht="31.5" hidden="false" customHeight="true" outlineLevel="0" collapsed="false">
      <c r="A20" s="22" t="s">
        <v>163</v>
      </c>
      <c r="B20" s="31" t="s">
        <v>164</v>
      </c>
      <c r="C20" s="31" t="s">
        <v>165</v>
      </c>
      <c r="D20" s="33" t="n">
        <f aca="false">C20-B20</f>
        <v>-1</v>
      </c>
      <c r="E20" s="23" t="s">
        <v>166</v>
      </c>
    </row>
    <row r="21" customFormat="false" ht="31.5" hidden="false" customHeight="true" outlineLevel="0" collapsed="false">
      <c r="A21" s="22" t="s">
        <v>145</v>
      </c>
      <c r="B21" s="25" t="n">
        <f aca="false">INDEX(LINEST(Data_2005_2020!$B$7:$B$22,Data_2005_2020!$C$7:$E$22,TRUE(),TRUE()),3,1)</f>
        <v>0.238300384470647</v>
      </c>
      <c r="C21" s="25" t="n">
        <f aca="false">J10</f>
        <v>0.302034294655687</v>
      </c>
      <c r="D21" s="34" t="n">
        <f aca="false">C21-B21</f>
        <v>0.0637339101850404</v>
      </c>
      <c r="E21" s="23" t="s">
        <v>167</v>
      </c>
    </row>
    <row r="22" customFormat="false" ht="31.5" hidden="false" customHeight="true" outlineLevel="0" collapsed="false">
      <c r="A22" s="22" t="s">
        <v>148</v>
      </c>
      <c r="B22" s="25" t="n">
        <f aca="false">1-(1-INDEX(LINEST(Data_2005_2020!$B$7:$B$22,Data_2005_2020!$C$7:$E$22,TRUE(),TRUE()),3,1))*(COUNT(Data_2005_2020!$B$7:$B$22)-1)/(16-3-1)</f>
        <v>0.0478754805883086</v>
      </c>
      <c r="C22" s="25" t="n">
        <f aca="false">J11</f>
        <v>0.0482285836213915</v>
      </c>
      <c r="D22" s="34" t="n">
        <f aca="false">C22-B22</f>
        <v>0.000353103033082891</v>
      </c>
      <c r="E22" s="23" t="s">
        <v>168</v>
      </c>
    </row>
    <row r="23" customFormat="false" ht="31.5" hidden="false" customHeight="true" outlineLevel="0" collapsed="false">
      <c r="A23" s="22" t="s">
        <v>152</v>
      </c>
      <c r="B23" s="25" t="n">
        <f aca="false">INDEX(LINEST(Data_2005_2020!$B$7:$B$22,Data_2005_2020!$C$7:$E$22,TRUE(),TRUE()),4,1)</f>
        <v>1.25141396746032</v>
      </c>
      <c r="C23" s="25" t="n">
        <f aca="false">J13</f>
        <v>1.19002166430713</v>
      </c>
      <c r="D23" s="34" t="n">
        <f aca="false">C23-B23</f>
        <v>-0.0613923031531876</v>
      </c>
      <c r="E23" s="23" t="s">
        <v>169</v>
      </c>
    </row>
    <row r="24" customFormat="false" ht="31.5" hidden="false" customHeight="true" outlineLevel="0" collapsed="false">
      <c r="A24" s="22" t="s">
        <v>153</v>
      </c>
      <c r="B24" s="25" t="n">
        <f aca="false">FDIST(B23,3,16-3-1)</f>
        <v>0.334647079145192</v>
      </c>
      <c r="C24" s="25" t="n">
        <f aca="false">J14</f>
        <v>0.368267267844313</v>
      </c>
      <c r="D24" s="34" t="n">
        <f aca="false">C24-B24</f>
        <v>0.0336201886991216</v>
      </c>
      <c r="E24" s="23" t="s">
        <v>170</v>
      </c>
    </row>
    <row r="26" customFormat="false" ht="21.75" hidden="false" customHeight="true" outlineLevel="0" collapsed="false">
      <c r="A26" s="28" t="s">
        <v>171</v>
      </c>
      <c r="B26" s="28"/>
      <c r="C26" s="28"/>
      <c r="D26" s="28"/>
      <c r="E26" s="28"/>
      <c r="F26" s="28"/>
      <c r="G26" s="28"/>
      <c r="H26" s="28"/>
      <c r="I26" s="28"/>
      <c r="J26" s="28"/>
    </row>
    <row r="27" customFormat="false" ht="31.5" hidden="false" customHeight="true" outlineLevel="0" collapsed="false">
      <c r="A27" s="13" t="s">
        <v>172</v>
      </c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31.5" hidden="false" customHeight="true" outlineLevel="0" collapsed="false">
      <c r="A28" s="13" t="s">
        <v>173</v>
      </c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31.5" hidden="false" customHeight="true" outlineLevel="0" collapsed="false">
      <c r="A29" s="13" t="s">
        <v>174</v>
      </c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31.5" hidden="false" customHeight="true" outlineLevel="0" collapsed="false">
      <c r="A30" s="13" t="s">
        <v>175</v>
      </c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31.5" hidden="false" customHeight="true" outlineLevel="0" collapsed="false">
      <c r="A31" s="13" t="s">
        <v>176</v>
      </c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31.5" hidden="false" customHeight="true" outlineLevel="0" collapsed="false">
      <c r="A32" s="13" t="s">
        <v>177</v>
      </c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31.5" hidden="false" customHeight="true" outlineLevel="0" collapsed="false">
      <c r="A33" s="13" t="s">
        <v>178</v>
      </c>
      <c r="B33" s="13"/>
      <c r="C33" s="13"/>
      <c r="D33" s="13"/>
      <c r="E33" s="13"/>
      <c r="F33" s="13"/>
      <c r="G33" s="13"/>
      <c r="H33" s="13"/>
      <c r="I33" s="13"/>
      <c r="J33" s="13"/>
    </row>
  </sheetData>
  <mergeCells count="13">
    <mergeCell ref="A1:J1"/>
    <mergeCell ref="A2:J2"/>
    <mergeCell ref="A4:J4"/>
    <mergeCell ref="B13:G13"/>
    <mergeCell ref="A16:J16"/>
    <mergeCell ref="A26:J26"/>
    <mergeCell ref="A27:J27"/>
    <mergeCell ref="A28:J28"/>
    <mergeCell ref="A29:J29"/>
    <mergeCell ref="A30:J30"/>
    <mergeCell ref="A31:J31"/>
    <mergeCell ref="A32:J32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179</v>
      </c>
      <c r="B1" s="1"/>
      <c r="C1" s="1"/>
      <c r="D1" s="1"/>
    </row>
    <row r="2" customFormat="false" ht="15" hidden="false" customHeight="false" outlineLevel="0" collapsed="false">
      <c r="A2" s="2" t="s">
        <v>180</v>
      </c>
      <c r="B2" s="2"/>
      <c r="C2" s="2"/>
      <c r="D2" s="2"/>
    </row>
    <row r="4" customFormat="false" ht="21.75" hidden="false" customHeight="true" outlineLevel="0" collapsed="false">
      <c r="A4" s="14" t="s">
        <v>181</v>
      </c>
      <c r="B4" s="14" t="s">
        <v>182</v>
      </c>
      <c r="C4" s="14" t="s">
        <v>183</v>
      </c>
      <c r="D4" s="14" t="s">
        <v>60</v>
      </c>
    </row>
    <row r="5" customFormat="false" ht="31.5" hidden="false" customHeight="true" outlineLevel="0" collapsed="false">
      <c r="A5" s="22" t="s">
        <v>184</v>
      </c>
      <c r="B5" s="23" t="s">
        <v>42</v>
      </c>
      <c r="C5" s="35" t="s">
        <v>185</v>
      </c>
      <c r="D5" s="23" t="s">
        <v>186</v>
      </c>
    </row>
    <row r="6" customFormat="false" ht="31.5" hidden="false" customHeight="true" outlineLevel="0" collapsed="false">
      <c r="A6" s="22" t="s">
        <v>187</v>
      </c>
      <c r="B6" s="23" t="s">
        <v>45</v>
      </c>
      <c r="C6" s="35" t="s">
        <v>188</v>
      </c>
      <c r="D6" s="23" t="s">
        <v>189</v>
      </c>
    </row>
    <row r="7" customFormat="false" ht="31.5" hidden="false" customHeight="true" outlineLevel="0" collapsed="false">
      <c r="A7" s="22" t="s">
        <v>190</v>
      </c>
      <c r="B7" s="23" t="s">
        <v>49</v>
      </c>
      <c r="C7" s="35" t="s">
        <v>191</v>
      </c>
      <c r="D7" s="23" t="s">
        <v>192</v>
      </c>
    </row>
    <row r="8" customFormat="false" ht="31.5" hidden="false" customHeight="true" outlineLevel="0" collapsed="false">
      <c r="A8" s="22" t="s">
        <v>193</v>
      </c>
      <c r="B8" s="23" t="s">
        <v>194</v>
      </c>
      <c r="C8" s="35" t="s">
        <v>195</v>
      </c>
      <c r="D8" s="23" t="s">
        <v>196</v>
      </c>
    </row>
    <row r="9" customFormat="false" ht="31.5" hidden="false" customHeight="true" outlineLevel="0" collapsed="false">
      <c r="A9" s="22" t="s">
        <v>197</v>
      </c>
      <c r="B9" s="23" t="s">
        <v>198</v>
      </c>
      <c r="C9" s="35" t="s">
        <v>199</v>
      </c>
      <c r="D9" s="23" t="s">
        <v>200</v>
      </c>
    </row>
    <row r="10" customFormat="false" ht="31.5" hidden="false" customHeight="true" outlineLevel="0" collapsed="false">
      <c r="A10" s="22" t="s">
        <v>201</v>
      </c>
      <c r="B10" s="23" t="s">
        <v>47</v>
      </c>
      <c r="C10" s="35" t="s">
        <v>202</v>
      </c>
      <c r="D10" s="23" t="s">
        <v>203</v>
      </c>
    </row>
    <row r="11" customFormat="false" ht="31.5" hidden="false" customHeight="true" outlineLevel="0" collapsed="false">
      <c r="A11" s="22" t="s">
        <v>204</v>
      </c>
      <c r="B11" s="23" t="s">
        <v>48</v>
      </c>
      <c r="C11" s="35" t="s">
        <v>205</v>
      </c>
      <c r="D11" s="23" t="s">
        <v>206</v>
      </c>
    </row>
    <row r="12" customFormat="false" ht="31.5" hidden="false" customHeight="true" outlineLevel="0" collapsed="false">
      <c r="A12" s="22" t="s">
        <v>207</v>
      </c>
      <c r="B12" s="23" t="s">
        <v>208</v>
      </c>
      <c r="C12" s="35" t="s">
        <v>209</v>
      </c>
      <c r="D12" s="23" t="s">
        <v>210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2026-05-12T01:42:31Z</dcterms:created>
  <dc:creator>openpyxl</dc:creator>
  <dc:description/>
  <dc:language>en-US</dc:language>
  <cp:lastModifiedBy/>
  <dcterms:modified xsi:type="dcterms:W3CDTF">2026-05-12T01:44:17Z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